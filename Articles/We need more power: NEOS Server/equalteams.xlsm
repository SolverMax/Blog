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83726ec0a80c1546/Documents/Ian/Web/SolverMax/Modelling/Website models/We need more power - NEOS Server/"/>
    </mc:Choice>
  </mc:AlternateContent>
  <xr:revisionPtr revIDLastSave="2" documentId="13_ncr:1_{94C1D13F-48E3-44B8-BF54-8373473DEB08}" xr6:coauthVersionLast="47" xr6:coauthVersionMax="47" xr10:uidLastSave="{F91DBD3B-A626-4A8A-B68B-E34D16F45956}"/>
  <bookViews>
    <workbookView xWindow="28680" yWindow="-120" windowWidth="29040" windowHeight="16440" xr2:uid="{324EC751-9C60-40DD-8432-DBCA825DD949}"/>
  </bookViews>
  <sheets>
    <sheet name="About" sheetId="3" r:id="rId1"/>
    <sheet name="Model" sheetId="5" r:id="rId2"/>
    <sheet name="Analysis" sheetId="2" r:id="rId3"/>
    <sheet name="Control" sheetId="4" r:id="rId4"/>
  </sheets>
  <definedNames>
    <definedName name="dAttributes">Model!$B$11:$D$40</definedName>
    <definedName name="dPeopleRequired">Model!$H$7:$L$7</definedName>
    <definedName name="fObjective" localSheetId="1">Model!$V$46</definedName>
    <definedName name="fPeoplePerTeam">Model!$H$77:$L$77</definedName>
    <definedName name="fPersonAllocation">Model!$M$47:$M$76</definedName>
    <definedName name="fSkillsLB">Model!$P$55:$S$59</definedName>
    <definedName name="fSkillsPerTeam">Model!$P$47:$S$51</definedName>
    <definedName name="fSkillsUB">Model!$P$63:$S$67</definedName>
    <definedName name="OpenSolver_ChosenSolver" localSheetId="2" hidden="1">CBC</definedName>
    <definedName name="OpenSolver_ChosenSolver" localSheetId="1" hidden="1">CBC</definedName>
    <definedName name="OpenSolver_DualsNewSheet" localSheetId="1" hidden="1">0</definedName>
    <definedName name="OpenSolver_LinearityCheck" localSheetId="2" hidden="1">1</definedName>
    <definedName name="OpenSolver_LinearityCheck" localSheetId="1" hidden="1">1</definedName>
    <definedName name="_xlnm.Print_Area" localSheetId="0">About!$A$1:$K$25</definedName>
    <definedName name="_xlnm.Print_Area" localSheetId="2">Analysis!$A$1:$V$79</definedName>
    <definedName name="_xlnm.Print_Area" localSheetId="3">Control!$A$1:$Q$30</definedName>
    <definedName name="solver_adj" localSheetId="1" hidden="1">Model!$H$47:$L$76,Model!$B$47:$E$47,Model!$B$48:$E$48</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Model!$H$77:$L$77</definedName>
    <definedName name="solver_lhs10" localSheetId="1" hidden="1">Model!$B$47:$E$47</definedName>
    <definedName name="solver_lhs11" localSheetId="1" hidden="1">Model!$H$77:$L$77</definedName>
    <definedName name="solver_lhs12" localSheetId="1" hidden="1">Model!$S$47:$S$51</definedName>
    <definedName name="solver_lhs13" localSheetId="1" hidden="1">Model!$V$46</definedName>
    <definedName name="solver_lhs2" localSheetId="1" hidden="1">Model!$P$47:$S$51</definedName>
    <definedName name="solver_lhs3" localSheetId="1" hidden="1">Model!$P$47:$S$51</definedName>
    <definedName name="solver_lhs4" localSheetId="1" hidden="1">Model!$M$47:$M$76</definedName>
    <definedName name="solver_lhs5" localSheetId="1" hidden="1">Model!$H$47:$L$76</definedName>
    <definedName name="solver_lhs6" localSheetId="1" hidden="1">Model!$B$48:$E$48</definedName>
    <definedName name="solver_lhs7" localSheetId="1" hidden="1">Model!$B$47:$E$47</definedName>
    <definedName name="solver_lhs8" localSheetId="1" hidden="1">Model!$H$47:$L$76</definedName>
    <definedName name="solver_lhs9" localSheetId="1" hidden="1">Model!$H$47:$L$76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7</definedName>
    <definedName name="solver_nwt" localSheetId="1" hidden="1">1</definedName>
    <definedName name="solver_opt" localSheetId="1" hidden="1">Model!$V$46</definedName>
    <definedName name="solver_pre" localSheetId="1" hidden="1">0.000001</definedName>
    <definedName name="solver_rbv" localSheetId="1" hidden="1">1</definedName>
    <definedName name="solver_rel1" localSheetId="1" hidden="1">2</definedName>
    <definedName name="solver_rel10" localSheetId="1" hidden="1">4</definedName>
    <definedName name="solver_rel11" localSheetId="1" hidden="1">2</definedName>
    <definedName name="solver_rel12" localSheetId="1" hidden="1">3</definedName>
    <definedName name="solver_rel13" localSheetId="1" hidden="1">3</definedName>
    <definedName name="solver_rel2" localSheetId="1" hidden="1">1</definedName>
    <definedName name="solver_rel3" localSheetId="1" hidden="1">3</definedName>
    <definedName name="solver_rel4" localSheetId="1" hidden="1">2</definedName>
    <definedName name="solver_rel5" localSheetId="1" hidden="1">5</definedName>
    <definedName name="solver_rel6" localSheetId="1" hidden="1">4</definedName>
    <definedName name="solver_rel7" localSheetId="1" hidden="1">4</definedName>
    <definedName name="solver_rel8" localSheetId="1" hidden="1">5</definedName>
    <definedName name="solver_rel9" localSheetId="1" hidden="1">5</definedName>
    <definedName name="solver_rhs1" localSheetId="1" hidden="1">dPeopleRequired</definedName>
    <definedName name="solver_rhs10" localSheetId="1" hidden="1">"integer"</definedName>
    <definedName name="solver_rhs11" localSheetId="1" hidden="1">dPeopleRequired</definedName>
    <definedName name="solver_rhs12" localSheetId="1" hidden="1">Model!$E$47</definedName>
    <definedName name="solver_rhs13" localSheetId="1" hidden="1">5</definedName>
    <definedName name="solver_rhs2" localSheetId="1" hidden="1">fSkillsUB</definedName>
    <definedName name="solver_rhs3" localSheetId="1" hidden="1">fSkillsLB</definedName>
    <definedName name="solver_rhs4" localSheetId="1" hidden="1">1</definedName>
    <definedName name="solver_rhs5" localSheetId="1" hidden="1">"binary"</definedName>
    <definedName name="solver_rhs6" localSheetId="1" hidden="1">"integer"</definedName>
    <definedName name="solver_rhs7" localSheetId="1" hidden="1">"integer"</definedName>
    <definedName name="solver_rhs8" localSheetId="1" hidden="1">"binary"</definedName>
    <definedName name="solver_rhs9" localSheetId="1" hidden="1">"binary"</definedName>
    <definedName name="solver_rlx" localSheetId="1" hidden="1">2</definedName>
    <definedName name="solver_rsd" localSheetId="1" hidden="1">0</definedName>
    <definedName name="solver_scl" localSheetId="1" hidden="1">1</definedName>
    <definedName name="solver_sho" localSheetId="1" hidden="1">1</definedName>
    <definedName name="solver_ssz" localSheetId="1" hidden="1">100</definedName>
    <definedName name="solver_tim" localSheetId="1" hidden="1">5</definedName>
    <definedName name="solver_tol" localSheetId="1" hidden="1">0</definedName>
    <definedName name="solver_typ" localSheetId="1" hidden="1">2</definedName>
    <definedName name="solver_val" localSheetId="1" hidden="1">0</definedName>
    <definedName name="solver_ver" localSheetId="1" hidden="1">3</definedName>
    <definedName name="vAllocation">Model!$H$47:$L$76</definedName>
    <definedName name="vSkillsBounds">Model!$B$47:$E$48</definedName>
    <definedName name="vSkillsLower">Model!$B$47:$E$47</definedName>
    <definedName name="vSkillsUpper">Model!$B$48:$E$48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59" i="5" l="1"/>
  <c r="B49" i="5"/>
  <c r="B50" i="5" s="1"/>
  <c r="P47" i="5"/>
  <c r="Q48" i="5"/>
  <c r="Q49" i="5"/>
  <c r="M7" i="5"/>
  <c r="B10" i="5"/>
  <c r="C10" i="5"/>
  <c r="D10"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B41" i="5"/>
  <c r="C41" i="5"/>
  <c r="D41" i="5"/>
  <c r="B46" i="5"/>
  <c r="C46" i="5"/>
  <c r="D46" i="5"/>
  <c r="E46" i="5"/>
  <c r="G46" i="5"/>
  <c r="G47" i="5"/>
  <c r="M47" i="5"/>
  <c r="G48" i="5"/>
  <c r="M48" i="5"/>
  <c r="C49" i="5"/>
  <c r="C50" i="5" s="1"/>
  <c r="D49" i="5"/>
  <c r="D50" i="5" s="1"/>
  <c r="E49" i="5"/>
  <c r="E50" i="5" s="1"/>
  <c r="G49" i="5"/>
  <c r="M49" i="5"/>
  <c r="G50" i="5"/>
  <c r="M50" i="5"/>
  <c r="G51" i="5"/>
  <c r="M51" i="5"/>
  <c r="G52" i="5"/>
  <c r="M52" i="5"/>
  <c r="G53" i="5"/>
  <c r="M53" i="5"/>
  <c r="G54" i="5"/>
  <c r="M54" i="5"/>
  <c r="G55" i="5"/>
  <c r="M55" i="5"/>
  <c r="P46" i="5"/>
  <c r="Q46" i="5"/>
  <c r="R46" i="5"/>
  <c r="S46" i="5"/>
  <c r="G56" i="5"/>
  <c r="M56" i="5"/>
  <c r="Q47" i="5"/>
  <c r="R47" i="5"/>
  <c r="G57" i="5"/>
  <c r="M57" i="5"/>
  <c r="P48" i="5"/>
  <c r="R48" i="5"/>
  <c r="G58" i="5"/>
  <c r="M58" i="5"/>
  <c r="P49" i="5"/>
  <c r="R49" i="5"/>
  <c r="G59" i="5"/>
  <c r="M59" i="5"/>
  <c r="P50" i="5"/>
  <c r="Q50" i="5"/>
  <c r="R50" i="5"/>
  <c r="G60" i="5"/>
  <c r="M60" i="5"/>
  <c r="P51" i="5"/>
  <c r="Q51" i="5"/>
  <c r="R51" i="5"/>
  <c r="G61" i="5"/>
  <c r="M61" i="5"/>
  <c r="G62" i="5"/>
  <c r="M62" i="5"/>
  <c r="G63" i="5"/>
  <c r="M63" i="5"/>
  <c r="O54" i="5"/>
  <c r="P54" i="5"/>
  <c r="Q54" i="5"/>
  <c r="R54" i="5"/>
  <c r="S54" i="5"/>
  <c r="G64" i="5"/>
  <c r="M64" i="5"/>
  <c r="O55" i="5"/>
  <c r="P55" i="5"/>
  <c r="Q55" i="5"/>
  <c r="R55" i="5"/>
  <c r="S55" i="5"/>
  <c r="G65" i="5"/>
  <c r="M65" i="5"/>
  <c r="O56" i="5"/>
  <c r="P56" i="5"/>
  <c r="Q56" i="5"/>
  <c r="R56" i="5"/>
  <c r="S56" i="5"/>
  <c r="G66" i="5"/>
  <c r="M66" i="5"/>
  <c r="O57" i="5"/>
  <c r="P57" i="5"/>
  <c r="Q57" i="5"/>
  <c r="R57" i="5"/>
  <c r="S57" i="5"/>
  <c r="G67" i="5"/>
  <c r="M67" i="5"/>
  <c r="O58" i="5"/>
  <c r="P58" i="5"/>
  <c r="Q58" i="5"/>
  <c r="R58" i="5"/>
  <c r="S58" i="5"/>
  <c r="G68" i="5"/>
  <c r="M68" i="5"/>
  <c r="O59" i="5"/>
  <c r="P59" i="5"/>
  <c r="Q59" i="5"/>
  <c r="R59" i="5"/>
  <c r="G69" i="5"/>
  <c r="M69" i="5"/>
  <c r="G70" i="5"/>
  <c r="M70" i="5"/>
  <c r="G71" i="5"/>
  <c r="M71" i="5"/>
  <c r="O62" i="5"/>
  <c r="P62" i="5"/>
  <c r="Q62" i="5"/>
  <c r="R62" i="5"/>
  <c r="S62" i="5"/>
  <c r="G72" i="5"/>
  <c r="M72" i="5"/>
  <c r="O63" i="5"/>
  <c r="P63" i="5"/>
  <c r="Q63" i="5"/>
  <c r="R63" i="5"/>
  <c r="S63" i="5"/>
  <c r="G73" i="5"/>
  <c r="M73" i="5"/>
  <c r="O64" i="5"/>
  <c r="P64" i="5"/>
  <c r="Q64" i="5"/>
  <c r="R64" i="5"/>
  <c r="S64" i="5"/>
  <c r="G74" i="5"/>
  <c r="M74" i="5"/>
  <c r="O65" i="5"/>
  <c r="P65" i="5"/>
  <c r="Q65" i="5"/>
  <c r="R65" i="5"/>
  <c r="S65" i="5"/>
  <c r="G75" i="5"/>
  <c r="M75" i="5"/>
  <c r="O66" i="5"/>
  <c r="P66" i="5"/>
  <c r="Q66" i="5"/>
  <c r="R66" i="5"/>
  <c r="S66" i="5"/>
  <c r="G76" i="5"/>
  <c r="M76" i="5"/>
  <c r="O67" i="5"/>
  <c r="P67" i="5"/>
  <c r="Q67" i="5"/>
  <c r="R67" i="5"/>
  <c r="S67" i="5"/>
  <c r="G77" i="5"/>
  <c r="H77" i="5"/>
  <c r="I77" i="5"/>
  <c r="J77" i="5"/>
  <c r="K77" i="5"/>
  <c r="L77" i="5"/>
  <c r="V46" i="5" l="1"/>
  <c r="S47" i="5"/>
  <c r="S48" i="5"/>
  <c r="E41" i="5"/>
  <c r="S49" i="5"/>
  <c r="S50" i="5"/>
  <c r="S51" i="5"/>
  <c r="M77" i="5"/>
</calcChain>
</file>

<file path=xl/sharedStrings.xml><?xml version="1.0" encoding="utf-8"?>
<sst xmlns="http://schemas.openxmlformats.org/spreadsheetml/2006/main" count="86" uniqueCount="76">
  <si>
    <t>Supporting analyses</t>
  </si>
  <si>
    <t>Key</t>
  </si>
  <si>
    <t>Version</t>
  </si>
  <si>
    <t>Data</t>
  </si>
  <si>
    <t>Constant</t>
  </si>
  <si>
    <t>Highlight</t>
  </si>
  <si>
    <t>Pasted values</t>
  </si>
  <si>
    <t>About</t>
  </si>
  <si>
    <t>Solver variable</t>
  </si>
  <si>
    <t>Description</t>
  </si>
  <si>
    <t>www.solvermax.com</t>
  </si>
  <si>
    <t>Workbook control</t>
  </si>
  <si>
    <t>Constants</t>
  </si>
  <si>
    <t>Derived values</t>
  </si>
  <si>
    <t>Boolean</t>
  </si>
  <si>
    <t>Notes</t>
  </si>
  <si>
    <t>Error</t>
  </si>
  <si>
    <t>Objective</t>
  </si>
  <si>
    <t>Attributes</t>
  </si>
  <si>
    <t>Score max</t>
  </si>
  <si>
    <t>Score min</t>
  </si>
  <si>
    <t>Team</t>
  </si>
  <si>
    <t>Score</t>
  </si>
  <si>
    <t>Intermediate calculations</t>
  </si>
  <si>
    <t>Range</t>
  </si>
  <si>
    <t>Total</t>
  </si>
  <si>
    <t>Max</t>
  </si>
  <si>
    <t>Min</t>
  </si>
  <si>
    <t>Bound</t>
  </si>
  <si>
    <t>Allocation</t>
  </si>
  <si>
    <t>Team's skills</t>
  </si>
  <si>
    <t>Result</t>
  </si>
  <si>
    <t>Variables</t>
  </si>
  <si>
    <t>Zebadiah</t>
  </si>
  <si>
    <t>Wes</t>
  </si>
  <si>
    <t>Wenona</t>
  </si>
  <si>
    <t>Washington</t>
  </si>
  <si>
    <t>Vittoria</t>
  </si>
  <si>
    <t>Vevay</t>
  </si>
  <si>
    <t>Tab</t>
  </si>
  <si>
    <t>Stearne</t>
  </si>
  <si>
    <t>Smith</t>
  </si>
  <si>
    <t>Rosaleen</t>
  </si>
  <si>
    <t>Nessa</t>
  </si>
  <si>
    <t>Mella</t>
  </si>
  <si>
    <t>Maurise</t>
  </si>
  <si>
    <t>Marilin</t>
  </si>
  <si>
    <t>Mari</t>
  </si>
  <si>
    <t>Lucine</t>
  </si>
  <si>
    <t>Lorain</t>
  </si>
  <si>
    <t>Katalin</t>
  </si>
  <si>
    <t>Kaitlin</t>
  </si>
  <si>
    <t>Job</t>
  </si>
  <si>
    <t>Heloise</t>
  </si>
  <si>
    <t>Gian</t>
  </si>
  <si>
    <t>Elden</t>
  </si>
  <si>
    <t>Charin</t>
  </si>
  <si>
    <t>Chalmers</t>
  </si>
  <si>
    <t>Caresa</t>
  </si>
  <si>
    <t>Babette</t>
  </si>
  <si>
    <t>Arlie</t>
  </si>
  <si>
    <t>Allister</t>
  </si>
  <si>
    <t>Aila</t>
  </si>
  <si>
    <t>Person</t>
  </si>
  <si>
    <t>Scores</t>
  </si>
  <si>
    <t>Team size</t>
  </si>
  <si>
    <t>Weight</t>
  </si>
  <si>
    <t>Overall</t>
  </si>
  <si>
    <t>Tenure</t>
  </si>
  <si>
    <t>Qualifications</t>
  </si>
  <si>
    <t>Experience</t>
  </si>
  <si>
    <t>Assumptions</t>
  </si>
  <si>
    <t>Team allocation, given multiple attributes</t>
  </si>
  <si>
    <t>Weighted</t>
  </si>
  <si>
    <t>Results</t>
  </si>
  <si>
    <t>v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</si>
</sst>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0_);_(* \(#,##0\);_(* &quot;-&quot;_);_(@_)"/>
    <numFmt numFmtId="165" formatCode="dd\ mmm\ yyyy"/>
    <numFmt numFmtId="166" formatCode="#,##0;\-#,##0;\-"/>
    <numFmt numFmtId="167" formatCode="#,##0.000;\-#,##0.000;\-"/>
  </numFmts>
  <fonts count="23" x14ac:knownFonts="1">
    <font>
      <sz val="11"/>
      <color theme="1"/>
      <name val="Calibri Light"/>
      <family val="2"/>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rgb="FFFF0000"/>
      <name val="Calibri Light"/>
      <family val="2"/>
    </font>
    <font>
      <sz val="11"/>
      <color theme="0" tint="-0.499984740745262"/>
      <name val="Calibri"/>
      <family val="2"/>
    </font>
    <font>
      <sz val="11"/>
      <color theme="4" tint="-0.24994659260841701"/>
      <name val="Calibri Light"/>
      <family val="2"/>
      <scheme val="major"/>
    </font>
    <font>
      <sz val="11"/>
      <color rgb="FFFF8000"/>
      <name val="Calibri Light"/>
      <family val="2"/>
    </font>
    <font>
      <u/>
      <sz val="11"/>
      <color theme="10"/>
      <name val="Calibri Light"/>
      <family val="2"/>
    </font>
    <font>
      <u/>
      <sz val="16"/>
      <name val="Calibri"/>
      <family val="2"/>
    </font>
    <font>
      <sz val="13"/>
      <color theme="1"/>
      <name val="Calibri"/>
      <family val="2"/>
    </font>
    <font>
      <sz val="12"/>
      <color theme="1"/>
      <name val="Calibri"/>
      <family val="2"/>
    </font>
    <font>
      <sz val="13"/>
      <color theme="1"/>
      <name val="Calibri Light"/>
      <family val="2"/>
      <scheme val="major"/>
    </font>
    <font>
      <sz val="11"/>
      <color theme="1"/>
      <name val="Calibri Light"/>
      <family val="2"/>
      <scheme val="major"/>
    </font>
    <font>
      <u/>
      <sz val="16"/>
      <name val="Calibri"/>
      <family val="2"/>
      <scheme val="minor"/>
    </font>
    <font>
      <sz val="11"/>
      <name val="Calibri Light"/>
      <family val="2"/>
    </font>
    <font>
      <sz val="8"/>
      <name val="Calibri Light"/>
      <family val="2"/>
    </font>
    <font>
      <b/>
      <sz val="11"/>
      <color theme="1"/>
      <name val="Calibri Light"/>
      <family val="2"/>
      <scheme val="major"/>
    </font>
    <font>
      <sz val="11"/>
      <name val="Calibri Light"/>
      <family val="2"/>
      <scheme val="major"/>
    </font>
    <font>
      <sz val="11"/>
      <color theme="4"/>
      <name val="Calibri Light"/>
      <family val="2"/>
      <scheme val="major"/>
    </font>
    <font>
      <sz val="11"/>
      <color rgb="FFFF0000"/>
      <name val="Calibri Light"/>
      <family val="2"/>
      <scheme val="major"/>
    </font>
  </fonts>
  <fills count="6">
    <fill>
      <patternFill patternType="none"/>
    </fill>
    <fill>
      <patternFill patternType="gray125"/>
    </fill>
    <fill>
      <patternFill patternType="solid">
        <fgColor theme="9" tint="0.79998168889431442"/>
        <bgColor indexed="64"/>
      </patternFill>
    </fill>
    <fill>
      <patternFill patternType="solid">
        <fgColor rgb="FFEBF5FF"/>
        <bgColor indexed="64"/>
      </patternFill>
    </fill>
    <fill>
      <patternFill patternType="solid">
        <fgColor theme="0" tint="-4.9989318521683403E-2"/>
        <bgColor indexed="64"/>
      </patternFill>
    </fill>
    <fill>
      <patternFill patternType="solid">
        <fgColor rgb="FFFCAAB8"/>
        <bgColor indexed="64"/>
      </patternFill>
    </fill>
  </fills>
  <borders count="5">
    <border>
      <left/>
      <right/>
      <top/>
      <bottom/>
      <diagonal/>
    </border>
    <border>
      <left/>
      <right/>
      <top/>
      <bottom style="thin">
        <color indexed="64"/>
      </bottom>
      <diagonal/>
    </border>
    <border>
      <left/>
      <right/>
      <top/>
      <bottom style="thin">
        <color theme="1"/>
      </bottom>
      <diagonal/>
    </border>
    <border>
      <left/>
      <right/>
      <top style="thin">
        <color indexed="64"/>
      </top>
      <bottom style="thin">
        <color indexed="64"/>
      </bottom>
      <diagonal/>
    </border>
    <border>
      <left/>
      <right/>
      <top style="thin">
        <color indexed="64"/>
      </top>
      <bottom/>
      <diagonal/>
    </border>
  </borders>
  <cellStyleXfs count="20">
    <xf numFmtId="0" fontId="0" fillId="0" borderId="0"/>
    <xf numFmtId="9" fontId="5" fillId="0" borderId="0" applyFont="0" applyFill="0" applyBorder="0" applyAlignment="0" applyProtection="0"/>
    <xf numFmtId="0" fontId="11" fillId="0" borderId="0" applyNumberFormat="0" applyFill="0" applyAlignment="0" applyProtection="0"/>
    <xf numFmtId="0" fontId="12" fillId="0" borderId="2" applyNumberFormat="0" applyAlignment="0" applyProtection="0"/>
    <xf numFmtId="0" fontId="13" fillId="0" borderId="0" applyNumberFormat="0" applyFill="0" applyBorder="0" applyAlignment="0" applyProtection="0"/>
    <xf numFmtId="0" fontId="8" fillId="3" borderId="0" applyNumberFormat="0" applyBorder="0" applyAlignment="0">
      <protection locked="0"/>
    </xf>
    <xf numFmtId="164" fontId="7" fillId="4" borderId="0" applyNumberFormat="0" applyBorder="0" applyAlignment="0"/>
    <xf numFmtId="164" fontId="6" fillId="0" borderId="0" applyNumberFormat="0" applyBorder="0" applyAlignment="0" applyProtection="0"/>
    <xf numFmtId="0" fontId="5" fillId="2" borderId="0" applyNumberFormat="0" applyFont="0" applyBorder="0" applyAlignment="0"/>
    <xf numFmtId="0" fontId="9" fillId="0" borderId="0" applyNumberFormat="0" applyFill="0" applyBorder="0" applyAlignment="0" applyProtection="0">
      <alignment horizontal="center"/>
    </xf>
    <xf numFmtId="0" fontId="10" fillId="0" borderId="0" applyNumberFormat="0" applyFill="0" applyBorder="0" applyAlignment="0" applyProtection="0"/>
    <xf numFmtId="0" fontId="4" fillId="0" borderId="0"/>
    <xf numFmtId="0" fontId="3" fillId="0" borderId="0"/>
    <xf numFmtId="0" fontId="2" fillId="0" borderId="0"/>
    <xf numFmtId="0" fontId="12" fillId="0" borderId="2" applyNumberFormat="0" applyAlignment="0" applyProtection="0"/>
    <xf numFmtId="0" fontId="13" fillId="0" borderId="0" applyNumberFormat="0" applyFill="0" applyBorder="0" applyAlignment="0" applyProtection="0"/>
    <xf numFmtId="9" fontId="2" fillId="0" borderId="0" applyFont="0" applyFill="0" applyBorder="0" applyAlignment="0" applyProtection="0"/>
    <xf numFmtId="0" fontId="11" fillId="0" borderId="0" applyNumberFormat="0" applyFill="0" applyAlignment="0" applyProtection="0"/>
    <xf numFmtId="0" fontId="1" fillId="0" borderId="0"/>
    <xf numFmtId="43" fontId="1" fillId="0" borderId="0" applyFont="0" applyFill="0" applyBorder="0" applyAlignment="0" applyProtection="0"/>
  </cellStyleXfs>
  <cellXfs count="60">
    <xf numFmtId="0" fontId="0" fillId="0" borderId="0" xfId="0"/>
    <xf numFmtId="0" fontId="8" fillId="3" borderId="0" xfId="5">
      <protection locked="0"/>
    </xf>
    <xf numFmtId="0" fontId="7" fillId="4" borderId="0" xfId="6" applyNumberFormat="1"/>
    <xf numFmtId="0" fontId="6" fillId="0" borderId="0" xfId="7" applyNumberFormat="1"/>
    <xf numFmtId="0" fontId="0" fillId="2" borderId="0" xfId="8" applyFont="1"/>
    <xf numFmtId="0" fontId="9" fillId="0" borderId="0" xfId="9" applyAlignment="1"/>
    <xf numFmtId="0" fontId="12" fillId="0" borderId="2" xfId="3"/>
    <xf numFmtId="0" fontId="11" fillId="0" borderId="0" xfId="2"/>
    <xf numFmtId="0" fontId="13" fillId="0" borderId="0" xfId="4"/>
    <xf numFmtId="165" fontId="0" fillId="0" borderId="0" xfId="0" applyNumberFormat="1" applyAlignment="1">
      <alignment horizontal="left"/>
    </xf>
    <xf numFmtId="0" fontId="10" fillId="0" borderId="0" xfId="10"/>
    <xf numFmtId="0" fontId="4" fillId="0" borderId="0" xfId="11"/>
    <xf numFmtId="0" fontId="13" fillId="0" borderId="0" xfId="4" applyAlignment="1">
      <alignment horizontal="center"/>
    </xf>
    <xf numFmtId="0" fontId="14" fillId="0" borderId="2" xfId="3" applyFont="1"/>
    <xf numFmtId="0" fontId="15" fillId="0" borderId="0" xfId="12" applyFont="1"/>
    <xf numFmtId="0" fontId="0" fillId="5" borderId="0" xfId="8" applyFont="1" applyFill="1"/>
    <xf numFmtId="0" fontId="16" fillId="0" borderId="0" xfId="2" applyFont="1"/>
    <xf numFmtId="166" fontId="0" fillId="0" borderId="0" xfId="0" applyNumberFormat="1"/>
    <xf numFmtId="9" fontId="0" fillId="0" borderId="0" xfId="1" applyFont="1"/>
    <xf numFmtId="10" fontId="0" fillId="0" borderId="0" xfId="1" applyNumberFormat="1" applyFont="1"/>
    <xf numFmtId="167" fontId="0" fillId="0" borderId="0" xfId="0" applyNumberFormat="1"/>
    <xf numFmtId="0" fontId="13" fillId="0" borderId="1" xfId="4" applyBorder="1"/>
    <xf numFmtId="10" fontId="0" fillId="0" borderId="0" xfId="0" applyNumberFormat="1"/>
    <xf numFmtId="167" fontId="17" fillId="0" borderId="0" xfId="9" applyNumberFormat="1" applyFont="1" applyAlignment="1"/>
    <xf numFmtId="10" fontId="17" fillId="0" borderId="0" xfId="9" applyNumberFormat="1" applyFont="1" applyAlignment="1"/>
    <xf numFmtId="0" fontId="17" fillId="0" borderId="0" xfId="9" applyFont="1" applyAlignment="1"/>
    <xf numFmtId="166" fontId="17" fillId="0" borderId="0" xfId="9" applyNumberFormat="1" applyFont="1" applyAlignment="1">
      <alignment horizontal="center"/>
    </xf>
    <xf numFmtId="166" fontId="17" fillId="0" borderId="0" xfId="9" applyNumberFormat="1" applyFont="1" applyAlignment="1"/>
    <xf numFmtId="0" fontId="17" fillId="0" borderId="0" xfId="0" applyFont="1"/>
    <xf numFmtId="0" fontId="15" fillId="0" borderId="0" xfId="18" applyFont="1"/>
    <xf numFmtId="0" fontId="19" fillId="0" borderId="1" xfId="18" applyFont="1" applyBorder="1"/>
    <xf numFmtId="0" fontId="15" fillId="0" borderId="1" xfId="18" applyFont="1" applyBorder="1"/>
    <xf numFmtId="0" fontId="19" fillId="0" borderId="0" xfId="18" applyFont="1"/>
    <xf numFmtId="0" fontId="15" fillId="0" borderId="1" xfId="18" applyFont="1" applyBorder="1" applyAlignment="1">
      <alignment horizontal="centerContinuous"/>
    </xf>
    <xf numFmtId="0" fontId="20" fillId="0" borderId="3" xfId="18" applyFont="1" applyBorder="1" applyAlignment="1">
      <alignment horizontal="right" vertical="center" wrapText="1"/>
    </xf>
    <xf numFmtId="0" fontId="15" fillId="0" borderId="3" xfId="18" applyFont="1" applyBorder="1" applyAlignment="1">
      <alignment horizontal="right"/>
    </xf>
    <xf numFmtId="0" fontId="19" fillId="0" borderId="0" xfId="18" applyFont="1" applyAlignment="1">
      <alignment horizontal="left"/>
    </xf>
    <xf numFmtId="166" fontId="21" fillId="0" borderId="0" xfId="18" applyNumberFormat="1" applyFont="1" applyAlignment="1">
      <alignment horizontal="right"/>
    </xf>
    <xf numFmtId="166" fontId="21" fillId="0" borderId="0" xfId="18" applyNumberFormat="1" applyFont="1"/>
    <xf numFmtId="166" fontId="15" fillId="0" borderId="0" xfId="18" applyNumberFormat="1" applyFont="1"/>
    <xf numFmtId="0" fontId="15" fillId="0" borderId="0" xfId="18" applyFont="1" applyAlignment="1">
      <alignment horizontal="right"/>
    </xf>
    <xf numFmtId="0" fontId="15" fillId="0" borderId="1" xfId="18" applyFont="1" applyBorder="1" applyAlignment="1">
      <alignment horizontal="left" vertical="center" wrapText="1"/>
    </xf>
    <xf numFmtId="0" fontId="21" fillId="0" borderId="0" xfId="18" applyFont="1" applyAlignment="1">
      <alignment vertical="center"/>
    </xf>
    <xf numFmtId="166" fontId="21" fillId="0" borderId="0" xfId="18" applyNumberFormat="1" applyFont="1" applyAlignment="1">
      <alignment horizontal="right" vertical="center" wrapText="1"/>
    </xf>
    <xf numFmtId="166" fontId="15" fillId="0" borderId="0" xfId="18" applyNumberFormat="1" applyFont="1" applyAlignment="1">
      <alignment horizontal="right" vertical="center" wrapText="1"/>
    </xf>
    <xf numFmtId="0" fontId="15" fillId="0" borderId="4" xfId="18" applyFont="1" applyBorder="1" applyAlignment="1">
      <alignment vertical="center" wrapText="1"/>
    </xf>
    <xf numFmtId="166" fontId="15" fillId="0" borderId="4" xfId="18" applyNumberFormat="1" applyFont="1" applyBorder="1" applyAlignment="1">
      <alignment horizontal="right" vertical="center" wrapText="1"/>
    </xf>
    <xf numFmtId="0" fontId="15" fillId="0" borderId="1" xfId="18" applyFont="1" applyBorder="1" applyAlignment="1">
      <alignment horizontal="right"/>
    </xf>
    <xf numFmtId="0" fontId="15" fillId="0" borderId="0" xfId="18" applyFont="1" applyAlignment="1">
      <alignment horizontal="left"/>
    </xf>
    <xf numFmtId="166" fontId="22" fillId="0" borderId="0" xfId="18" applyNumberFormat="1" applyFont="1"/>
    <xf numFmtId="0" fontId="15" fillId="0" borderId="4" xfId="18" applyFont="1" applyBorder="1" applyAlignment="1">
      <alignment horizontal="left"/>
    </xf>
    <xf numFmtId="166" fontId="15" fillId="0" borderId="4" xfId="18" applyNumberFormat="1" applyFont="1" applyBorder="1"/>
    <xf numFmtId="0" fontId="15" fillId="0" borderId="1" xfId="18" applyFont="1" applyBorder="1" applyAlignment="1">
      <alignment horizontal="left"/>
    </xf>
    <xf numFmtId="166" fontId="22" fillId="0" borderId="0" xfId="18" applyNumberFormat="1" applyFont="1" applyAlignment="1">
      <alignment vertical="center" wrapText="1"/>
    </xf>
    <xf numFmtId="0" fontId="15" fillId="0" borderId="4" xfId="18" applyFont="1" applyBorder="1"/>
    <xf numFmtId="0" fontId="12" fillId="0" borderId="2" xfId="3" applyAlignment="1">
      <alignment horizontal="left"/>
    </xf>
    <xf numFmtId="0" fontId="13" fillId="0" borderId="1" xfId="4" applyBorder="1" applyAlignment="1">
      <alignment horizontal="centerContinuous"/>
    </xf>
    <xf numFmtId="0" fontId="13" fillId="0" borderId="0" xfId="4" applyAlignment="1">
      <alignment horizontal="left"/>
    </xf>
    <xf numFmtId="0" fontId="13" fillId="0" borderId="0" xfId="4" applyAlignment="1">
      <alignment horizontal="left" vertical="center" wrapText="1"/>
    </xf>
    <xf numFmtId="0" fontId="13" fillId="0" borderId="1" xfId="4" applyBorder="1" applyAlignment="1">
      <alignment horizontal="left"/>
    </xf>
  </cellXfs>
  <cellStyles count="20">
    <cellStyle name="Comma 2" xfId="19" xr:uid="{541E32FE-88CB-412D-A9CA-670B954C1504}"/>
    <cellStyle name="Constant" xfId="6" xr:uid="{796A1085-F0EF-4C67-8AA0-F853232DDC71}"/>
    <cellStyle name="Data" xfId="5" xr:uid="{71F5B92E-D361-4283-9818-F4CBFF584C90}"/>
    <cellStyle name="Heading 1" xfId="2" builtinId="16" customBuiltin="1"/>
    <cellStyle name="Heading 1 2" xfId="17" xr:uid="{224AAC3F-CB76-4A67-B4B4-CE6CCB9E3318}"/>
    <cellStyle name="Heading 2" xfId="3" builtinId="17" customBuiltin="1"/>
    <cellStyle name="Heading 2 2" xfId="14" xr:uid="{855E106E-0BD6-4BBE-95BB-9CB2F2D6BD79}"/>
    <cellStyle name="Heading 3" xfId="4" builtinId="18" customBuiltin="1"/>
    <cellStyle name="Heading 3 2" xfId="15" xr:uid="{FF7422B5-838B-43C5-8CF8-CBCA5CA55105}"/>
    <cellStyle name="Highlight" xfId="8" xr:uid="{B0575228-8C74-4A43-8879-54481562CDC8}"/>
    <cellStyle name="Hyperlink" xfId="10" builtinId="8"/>
    <cellStyle name="Normal" xfId="0" builtinId="0" customBuiltin="1"/>
    <cellStyle name="Normal 2" xfId="11" xr:uid="{559CD362-17CD-48F5-91B2-7DC5FC64D3FA}"/>
    <cellStyle name="Normal 3" xfId="12" xr:uid="{0FAE9525-3EB2-4438-A0E8-ACCCE92A3ADB}"/>
    <cellStyle name="Normal 4" xfId="13" xr:uid="{435E965A-2C57-4049-A84F-64BA472966FD}"/>
    <cellStyle name="Normal 5" xfId="18" xr:uid="{5E71339D-84AF-48B7-89C9-88AA1C49361D}"/>
    <cellStyle name="Pasted values" xfId="9" xr:uid="{030D59A0-04D2-42DE-9BD8-7A15F8DCD3BF}"/>
    <cellStyle name="Percent" xfId="1" builtinId="5"/>
    <cellStyle name="Percent 2" xfId="16" xr:uid="{B629610A-506F-42B8-850B-5047DA848DCB}"/>
    <cellStyle name="Variable" xfId="7" xr:uid="{4B1E7875-0649-4BAC-92A3-2AE0B4C7E180}"/>
  </cellStyles>
  <dxfs count="0"/>
  <tableStyles count="0" defaultTableStyle="TableStyleMedium2" defaultPivotStyle="PivotStyleLight16"/>
  <colors>
    <mruColors>
      <color rgb="FFE8E8E8"/>
      <color rgb="FFFF8000"/>
      <color rgb="FFFF9900"/>
      <color rgb="FFFAE6FF"/>
      <color rgb="FFEBF5FF"/>
      <color rgb="FFFFF0FF"/>
      <color rgb="FFFADCFF"/>
      <color rgb="FFF0D2FF"/>
      <color rgb="FFFAC8FA"/>
      <color rgb="FFF0C8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xdr:colOff>
      <xdr:row>2</xdr:row>
      <xdr:rowOff>0</xdr:rowOff>
    </xdr:from>
    <xdr:to>
      <xdr:col>9</xdr:col>
      <xdr:colOff>1099</xdr:colOff>
      <xdr:row>25</xdr:row>
      <xdr:rowOff>0</xdr:rowOff>
    </xdr:to>
    <xdr:sp macro="" textlink="">
      <xdr:nvSpPr>
        <xdr:cNvPr id="2" name="TextBox 1">
          <a:extLst>
            <a:ext uri="{FF2B5EF4-FFF2-40B4-BE49-F238E27FC236}">
              <a16:creationId xmlns:a16="http://schemas.microsoft.com/office/drawing/2014/main" id="{9D54E71C-AE60-4DE3-BF9A-F3B49148130C}"/>
            </a:ext>
          </a:extLst>
        </xdr:cNvPr>
        <xdr:cNvSpPr txBox="1"/>
      </xdr:nvSpPr>
      <xdr:spPr>
        <a:xfrm>
          <a:off x="1" y="457200"/>
          <a:ext cx="6173298" cy="440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tIns="18000" rIns="18000" bIns="18000" rtlCol="0" anchor="t"/>
        <a:lstStyle/>
        <a:p>
          <a:r>
            <a:rPr lang="en-NZ" sz="1200" b="0">
              <a:latin typeface="+mn-lt"/>
            </a:rPr>
            <a:t>Purpose</a:t>
          </a:r>
          <a:endParaRPr lang="en-NZ" sz="1100" b="0">
            <a:latin typeface="+mn-lt"/>
          </a:endParaRPr>
        </a:p>
        <a:p>
          <a:r>
            <a:rPr lang="en-NZ" sz="1100">
              <a:latin typeface="+mj-lt"/>
            </a:rPr>
            <a:t>This workbook contains an example optimization model and associated analysis. The purpose is to illustrate</a:t>
          </a:r>
          <a:r>
            <a:rPr lang="en-NZ" sz="1100" baseline="0">
              <a:latin typeface="+mj-lt"/>
            </a:rPr>
            <a:t> the design and use of optimization models in Microsoft Excel, using the Solver and/or OpenSolver add-ins.</a:t>
          </a:r>
        </a:p>
        <a:p>
          <a:endParaRPr lang="en-NZ" sz="1100" baseline="0">
            <a:latin typeface="+mj-lt"/>
          </a:endParaRPr>
        </a:p>
        <a:p>
          <a:pPr marL="0" marR="0" indent="0" defTabSz="914400" eaLnBrk="1" fontAlgn="auto" latinLnBrk="0" hangingPunct="1">
            <a:lnSpc>
              <a:spcPct val="100000"/>
            </a:lnSpc>
            <a:spcBef>
              <a:spcPts val="0"/>
            </a:spcBef>
            <a:spcAft>
              <a:spcPts val="0"/>
            </a:spcAft>
            <a:buClrTx/>
            <a:buSzTx/>
            <a:buFontTx/>
            <a:buNone/>
            <a:tabLst/>
            <a:defRPr/>
          </a:pPr>
          <a:r>
            <a:rPr lang="en-NZ" sz="1100" baseline="0">
              <a:solidFill>
                <a:schemeClr val="dk1"/>
              </a:solidFill>
              <a:effectLst/>
              <a:latin typeface="+mj-lt"/>
              <a:ea typeface="+mn-ea"/>
              <a:cs typeface="+mn-cs"/>
            </a:rPr>
            <a:t>This workbook should be read in conjunction with the articles at:</a:t>
          </a:r>
        </a:p>
        <a:p>
          <a:pPr marL="0" marR="0" indent="0" defTabSz="914400" eaLnBrk="1" fontAlgn="auto" latinLnBrk="0" hangingPunct="1">
            <a:lnSpc>
              <a:spcPct val="100000"/>
            </a:lnSpc>
            <a:spcBef>
              <a:spcPts val="0"/>
            </a:spcBef>
            <a:spcAft>
              <a:spcPts val="0"/>
            </a:spcAft>
            <a:buClrTx/>
            <a:buSzTx/>
            <a:buFontTx/>
            <a:buNone/>
            <a:tabLst/>
            <a:defRPr/>
          </a:pPr>
          <a:r>
            <a:rPr lang="en-NZ" sz="1100">
              <a:solidFill>
                <a:schemeClr val="dk1"/>
              </a:solidFill>
              <a:effectLst/>
              <a:latin typeface="+mj-lt"/>
              <a:ea typeface="+mn-ea"/>
              <a:cs typeface="+mn-cs"/>
            </a:rPr>
            <a:t>http://www.solvermax.com</a:t>
          </a:r>
        </a:p>
        <a:p>
          <a:pPr marL="0" marR="0" indent="0" defTabSz="914400" eaLnBrk="1" fontAlgn="auto" latinLnBrk="0" hangingPunct="1">
            <a:lnSpc>
              <a:spcPct val="100000"/>
            </a:lnSpc>
            <a:spcBef>
              <a:spcPts val="0"/>
            </a:spcBef>
            <a:spcAft>
              <a:spcPts val="0"/>
            </a:spcAft>
            <a:buClrTx/>
            <a:buSzTx/>
            <a:buFontTx/>
            <a:buNone/>
            <a:tabLst/>
            <a:defRPr/>
          </a:pPr>
          <a:endParaRPr lang="en-NZ" sz="1100">
            <a:latin typeface="+mj-lt"/>
          </a:endParaRPr>
        </a:p>
        <a:p>
          <a:r>
            <a:rPr lang="en-NZ" sz="1200" b="0">
              <a:latin typeface="+mn-lt"/>
            </a:rPr>
            <a:t>Sheets</a:t>
          </a:r>
          <a:endParaRPr lang="en-NZ" sz="1100" b="0">
            <a:latin typeface="+mn-lt"/>
          </a:endParaRPr>
        </a:p>
        <a:p>
          <a:r>
            <a:rPr lang="en-NZ" sz="1100">
              <a:latin typeface="+mj-lt"/>
            </a:rPr>
            <a:t>This workbook contains the following sheets:</a:t>
          </a:r>
        </a:p>
        <a:p>
          <a:r>
            <a:rPr lang="en-NZ" sz="1100">
              <a:latin typeface="+mj-lt"/>
            </a:rPr>
            <a:t>   'About': </a:t>
          </a:r>
          <a:r>
            <a:rPr lang="en-NZ" sz="1100" baseline="0">
              <a:latin typeface="+mj-lt"/>
            </a:rPr>
            <a:t>	This sheet, used to document the workbook.</a:t>
          </a:r>
        </a:p>
        <a:p>
          <a:r>
            <a:rPr lang="en-NZ" sz="1100">
              <a:latin typeface="+mj-lt"/>
            </a:rPr>
            <a:t>   'Model': </a:t>
          </a:r>
          <a:r>
            <a:rPr lang="en-NZ" sz="1100" baseline="0">
              <a:latin typeface="+mj-lt"/>
            </a:rPr>
            <a:t>	An optimization model.</a:t>
          </a:r>
        </a:p>
        <a:p>
          <a:r>
            <a:rPr lang="en-NZ" sz="1100">
              <a:latin typeface="+mj-lt"/>
            </a:rPr>
            <a:t>   'Analysis':	Insights gained from using the model.</a:t>
          </a:r>
        </a:p>
        <a:p>
          <a:pPr marL="0" marR="0" lvl="0" indent="0" defTabSz="914400" eaLnBrk="1" fontAlgn="auto" latinLnBrk="0" hangingPunct="1">
            <a:lnSpc>
              <a:spcPct val="100000"/>
            </a:lnSpc>
            <a:spcBef>
              <a:spcPts val="0"/>
            </a:spcBef>
            <a:spcAft>
              <a:spcPts val="0"/>
            </a:spcAft>
            <a:buClrTx/>
            <a:buSzTx/>
            <a:buFontTx/>
            <a:buNone/>
            <a:tabLst/>
            <a:defRPr/>
          </a:pPr>
          <a:r>
            <a:rPr lang="en-NZ" sz="1100">
              <a:solidFill>
                <a:schemeClr val="dk1"/>
              </a:solidFill>
              <a:effectLst/>
              <a:latin typeface="+mj-lt"/>
              <a:ea typeface="+mn-ea"/>
              <a:cs typeface="+mn-cs"/>
            </a:rPr>
            <a:t>   'Control':	Values used to control the workbook.</a:t>
          </a:r>
          <a:endParaRPr lang="en-NZ">
            <a:effectLst/>
            <a:latin typeface="+mj-lt"/>
          </a:endParaRPr>
        </a:p>
        <a:p>
          <a:endParaRPr lang="en-NZ" sz="1100">
            <a:latin typeface="+mj-lt"/>
          </a:endParaRPr>
        </a:p>
        <a:p>
          <a:r>
            <a:rPr lang="en-NZ" sz="1200" b="0" baseline="0">
              <a:latin typeface="+mn-lt"/>
            </a:rPr>
            <a:t>Disclaimer</a:t>
          </a:r>
          <a:endParaRPr lang="en-NZ" sz="1100" b="0" baseline="0">
            <a:latin typeface="+mn-lt"/>
          </a:endParaRPr>
        </a:p>
        <a:p>
          <a:r>
            <a:rPr lang="en-NZ" sz="1100" baseline="0">
              <a:latin typeface="+mj-lt"/>
            </a:rPr>
            <a:t>This workbook </a:t>
          </a:r>
          <a:r>
            <a:rPr lang="en-NZ">
              <a:latin typeface="+mj-lt"/>
            </a:rPr>
            <a:t>is presented on an as is basis for illustrative purposes only and should not be relied upon for making financial, legal or any other commitments. Solver Max will accept no responsibility or liability for any errors or omissions.</a:t>
          </a:r>
        </a:p>
        <a:p>
          <a:endParaRPr lang="en-NZ" sz="1100">
            <a:latin typeface="+mj-lt"/>
          </a:endParaRPr>
        </a:p>
        <a:p>
          <a:r>
            <a:rPr lang="en-NZ" sz="1200" b="0">
              <a:latin typeface="+mn-lt"/>
            </a:rPr>
            <a:t>Copyright</a:t>
          </a:r>
          <a:endParaRPr lang="en-NZ" sz="1100" b="0">
            <a:latin typeface="+mn-lt"/>
          </a:endParaRPr>
        </a:p>
        <a:p>
          <a:pPr marL="0" marR="0" indent="0" defTabSz="914400" eaLnBrk="1" fontAlgn="auto" latinLnBrk="0" hangingPunct="1">
            <a:lnSpc>
              <a:spcPct val="100000"/>
            </a:lnSpc>
            <a:spcBef>
              <a:spcPts val="0"/>
            </a:spcBef>
            <a:spcAft>
              <a:spcPts val="0"/>
            </a:spcAft>
            <a:buClrTx/>
            <a:buSzTx/>
            <a:buFontTx/>
            <a:buNone/>
            <a:tabLst/>
            <a:defRPr/>
          </a:pPr>
          <a:r>
            <a:rPr lang="en-NZ" sz="1100">
              <a:latin typeface="+mj-lt"/>
            </a:rPr>
            <a:t>This workbook is © </a:t>
          </a:r>
          <a:r>
            <a:rPr lang="en-NZ" sz="1100">
              <a:solidFill>
                <a:schemeClr val="dk1"/>
              </a:solidFill>
              <a:latin typeface="+mj-lt"/>
              <a:ea typeface="+mn-ea"/>
              <a:cs typeface="+mn-cs"/>
            </a:rPr>
            <a:t>Copyright </a:t>
          </a:r>
          <a:r>
            <a:rPr lang="en-NZ" sz="1100">
              <a:latin typeface="+mj-lt"/>
            </a:rPr>
            <a:t>2021 Solver Max</a:t>
          </a:r>
          <a:r>
            <a:rPr lang="en-NZ" b="0" i="0">
              <a:latin typeface="+mj-lt"/>
              <a:cs typeface="Times New Roman" pitchFamily="18" charset="0"/>
            </a:rPr>
            <a:t>.</a:t>
          </a:r>
        </a:p>
        <a:p>
          <a:pPr marL="0" marR="0" indent="0" defTabSz="914400" eaLnBrk="1" fontAlgn="auto" latinLnBrk="0" hangingPunct="1">
            <a:lnSpc>
              <a:spcPct val="100000"/>
            </a:lnSpc>
            <a:spcBef>
              <a:spcPts val="0"/>
            </a:spcBef>
            <a:spcAft>
              <a:spcPts val="0"/>
            </a:spcAft>
            <a:buClrTx/>
            <a:buSzTx/>
            <a:buFontTx/>
            <a:buNone/>
            <a:tabLst/>
            <a:defRPr/>
          </a:pPr>
          <a:r>
            <a:rPr lang="en-NZ" b="0" i="0">
              <a:latin typeface="+mj-lt"/>
              <a:cs typeface="Times New Roman" pitchFamily="18" charset="0"/>
            </a:rPr>
            <a:t>Solver Max retains copyright of this workbook.</a:t>
          </a:r>
        </a:p>
      </xdr:txBody>
    </xdr:sp>
    <xdr:clientData/>
  </xdr:twoCellAnchor>
  <xdr:twoCellAnchor editAs="oneCell">
    <xdr:from>
      <xdr:col>10</xdr:col>
      <xdr:colOff>13765</xdr:colOff>
      <xdr:row>0</xdr:row>
      <xdr:rowOff>30745</xdr:rowOff>
    </xdr:from>
    <xdr:to>
      <xdr:col>10</xdr:col>
      <xdr:colOff>1206699</xdr:colOff>
      <xdr:row>9</xdr:row>
      <xdr:rowOff>110499</xdr:rowOff>
    </xdr:to>
    <xdr:pic>
      <xdr:nvPicPr>
        <xdr:cNvPr id="14" name="Picture 13">
          <a:extLst>
            <a:ext uri="{FF2B5EF4-FFF2-40B4-BE49-F238E27FC236}">
              <a16:creationId xmlns:a16="http://schemas.microsoft.com/office/drawing/2014/main" id="{3CBD64A6-FDDA-4BB7-9965-6BDB1288A0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71765" y="30745"/>
          <a:ext cx="1192934" cy="18704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3</xdr:row>
      <xdr:rowOff>0</xdr:rowOff>
    </xdr:from>
    <xdr:to>
      <xdr:col>29</xdr:col>
      <xdr:colOff>0</xdr:colOff>
      <xdr:row>41</xdr:row>
      <xdr:rowOff>0</xdr:rowOff>
    </xdr:to>
    <xdr:sp macro="" textlink="">
      <xdr:nvSpPr>
        <xdr:cNvPr id="2" name="TextBox 1">
          <a:extLst>
            <a:ext uri="{FF2B5EF4-FFF2-40B4-BE49-F238E27FC236}">
              <a16:creationId xmlns:a16="http://schemas.microsoft.com/office/drawing/2014/main" id="{2D9B12FE-C776-4894-8CA6-B71C44A524DC}"/>
            </a:ext>
          </a:extLst>
        </xdr:cNvPr>
        <xdr:cNvSpPr txBox="1"/>
      </xdr:nvSpPr>
      <xdr:spPr>
        <a:xfrm>
          <a:off x="8286750" y="571500"/>
          <a:ext cx="9220200" cy="7239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18000" bIns="18000" rtlCol="0" anchor="t"/>
        <a:lstStyle/>
        <a:p>
          <a:r>
            <a:rPr lang="en-NZ" sz="1100" b="0"/>
            <a:t>Situation</a:t>
          </a:r>
        </a:p>
        <a:p>
          <a:r>
            <a:rPr lang="en-NZ" sz="1100">
              <a:latin typeface="+mj-lt"/>
            </a:rPr>
            <a:t>We have 30 people who we want to form 5 teams each consisting of 6 people. </a:t>
          </a:r>
          <a:r>
            <a:rPr lang="en-NZ" sz="1100">
              <a:solidFill>
                <a:schemeClr val="dk1"/>
              </a:solidFill>
              <a:effectLst/>
              <a:latin typeface="+mj-lt"/>
              <a:ea typeface="+mn-ea"/>
              <a:cs typeface="+mn-cs"/>
            </a:rPr>
            <a:t>Each </a:t>
          </a:r>
          <a:r>
            <a:rPr lang="en-NZ" sz="1100" baseline="0">
              <a:solidFill>
                <a:schemeClr val="dk1"/>
              </a:solidFill>
              <a:effectLst/>
              <a:latin typeface="+mj-lt"/>
              <a:ea typeface="+mn-ea"/>
              <a:cs typeface="+mn-cs"/>
            </a:rPr>
            <a:t>person is to be assigned to one team.</a:t>
          </a:r>
        </a:p>
        <a:p>
          <a:r>
            <a:rPr lang="en-NZ" sz="1100">
              <a:latin typeface="+mj-lt"/>
            </a:rPr>
            <a:t>Each person is rated on </a:t>
          </a:r>
          <a:r>
            <a:rPr lang="en-NZ" sz="1100" baseline="0">
              <a:latin typeface="+mj-lt"/>
            </a:rPr>
            <a:t>three attributes: </a:t>
          </a:r>
          <a:r>
            <a:rPr lang="en-NZ" sz="1100" baseline="0">
              <a:solidFill>
                <a:schemeClr val="dk1"/>
              </a:solidFill>
              <a:effectLst/>
              <a:latin typeface="+mj-lt"/>
              <a:ea typeface="+mn-ea"/>
              <a:cs typeface="+mn-cs"/>
            </a:rPr>
            <a:t>experience, qualifications, and tenure. Each attribute is rated on </a:t>
          </a:r>
          <a:r>
            <a:rPr lang="en-NZ" sz="1100">
              <a:latin typeface="+mj-lt"/>
            </a:rPr>
            <a:t>a scale from 1 (low) to 100 (high).</a:t>
          </a:r>
        </a:p>
        <a:p>
          <a:r>
            <a:rPr lang="en-NZ" sz="1100">
              <a:latin typeface="+mj-lt"/>
            </a:rPr>
            <a:t>We want the </a:t>
          </a:r>
          <a:r>
            <a:rPr lang="en-NZ" sz="1100" baseline="0">
              <a:latin typeface="+mj-lt"/>
            </a:rPr>
            <a:t>teams to be as balanced as possible, considering each of the attributes and overall. We want to put the highest weight on the team's overall score (sum of the individual attributes), then on each of the attributes in declining order: experience, qualifications, and tenure.</a:t>
          </a:r>
          <a:endParaRPr lang="en-NZ" sz="1100">
            <a:latin typeface="+mj-lt"/>
          </a:endParaRPr>
        </a:p>
        <a:p>
          <a:endParaRPr lang="en-NZ" sz="1100">
            <a:latin typeface="+mj-lt"/>
          </a:endParaRPr>
        </a:p>
        <a:p>
          <a:r>
            <a:rPr lang="en-NZ" sz="1100" b="0">
              <a:latin typeface="+mn-lt"/>
            </a:rPr>
            <a:t>Formulation</a:t>
          </a:r>
        </a:p>
        <a:p>
          <a:r>
            <a:rPr lang="en-NZ" sz="1100">
              <a:latin typeface="+mj-lt"/>
            </a:rPr>
            <a:t>We characterise the skill balance requirement as an objective that sums:</a:t>
          </a:r>
        </a:p>
        <a:p>
          <a:r>
            <a:rPr lang="en-NZ" sz="1100">
              <a:latin typeface="+mj-lt"/>
            </a:rPr>
            <a:t>- The team skill</a:t>
          </a:r>
          <a:r>
            <a:rPr lang="en-NZ" sz="1100" baseline="0">
              <a:latin typeface="+mj-lt"/>
            </a:rPr>
            <a:t> score = sum of team member scores across the skills.</a:t>
          </a:r>
        </a:p>
        <a:p>
          <a:r>
            <a:rPr lang="en-NZ" sz="1100" baseline="0">
              <a:latin typeface="+mj-lt"/>
            </a:rPr>
            <a:t>- Individual skill scores = </a:t>
          </a:r>
          <a:r>
            <a:rPr lang="en-NZ" sz="1100" baseline="0">
              <a:solidFill>
                <a:schemeClr val="dk1"/>
              </a:solidFill>
              <a:effectLst/>
              <a:latin typeface="+mj-lt"/>
              <a:ea typeface="+mn-ea"/>
              <a:cs typeface="+mn-cs"/>
            </a:rPr>
            <a:t>sum of team member scores for each of the 3 skills.</a:t>
          </a:r>
          <a:endParaRPr lang="en-NZ">
            <a:effectLst/>
            <a:latin typeface="+mj-lt"/>
          </a:endParaRPr>
        </a:p>
        <a:p>
          <a:endParaRPr lang="en-NZ" sz="1100" baseline="0">
            <a:latin typeface="+mj-lt"/>
          </a:endParaRPr>
        </a:p>
        <a:p>
          <a:r>
            <a:rPr lang="en-NZ" sz="1100" baseline="0">
              <a:latin typeface="+mj-lt"/>
            </a:rPr>
            <a:t>The assignment of people to teams is straightforward:</a:t>
          </a:r>
        </a:p>
        <a:p>
          <a:r>
            <a:rPr lang="en-NZ" sz="1100" baseline="0">
              <a:latin typeface="+mj-lt"/>
            </a:rPr>
            <a:t>- A table of binary variables for person by team.</a:t>
          </a:r>
        </a:p>
        <a:p>
          <a:r>
            <a:rPr lang="en-NZ" sz="1100" baseline="0">
              <a:latin typeface="+mj-lt"/>
            </a:rPr>
            <a:t>- Each person can be allocated once.</a:t>
          </a:r>
        </a:p>
        <a:p>
          <a:r>
            <a:rPr lang="en-NZ" sz="1100" baseline="0">
              <a:latin typeface="+mj-lt"/>
            </a:rPr>
            <a:t>- Each team consists of 6 people.</a:t>
          </a:r>
        </a:p>
        <a:p>
          <a:endParaRPr lang="en-NZ" sz="1100" baseline="0">
            <a:latin typeface="+mj-lt"/>
          </a:endParaRPr>
        </a:p>
        <a:p>
          <a:pPr marL="0" marR="0" lvl="0" indent="0" defTabSz="914400" eaLnBrk="1" fontAlgn="auto" latinLnBrk="0" hangingPunct="1">
            <a:lnSpc>
              <a:spcPct val="100000"/>
            </a:lnSpc>
            <a:spcBef>
              <a:spcPts val="0"/>
            </a:spcBef>
            <a:spcAft>
              <a:spcPts val="0"/>
            </a:spcAft>
            <a:buClrTx/>
            <a:buSzTx/>
            <a:buFontTx/>
            <a:buNone/>
            <a:tabLst/>
            <a:defRPr/>
          </a:pPr>
          <a:r>
            <a:rPr lang="en-NZ" sz="1100" baseline="0">
              <a:latin typeface="+mj-lt"/>
            </a:rPr>
            <a:t>Integer variables represent the high and low score for each individual skill and team skill total. The team skills are constrained by these variables, with an objective in terms of the range between the high and low scores. Minimizing the weighted range makes the teams as balanced as possible.</a:t>
          </a:r>
        </a:p>
        <a:p>
          <a:pPr marL="0" marR="0" lvl="0" indent="0" defTabSz="914400" eaLnBrk="1" fontAlgn="auto" latinLnBrk="0" hangingPunct="1">
            <a:lnSpc>
              <a:spcPct val="100000"/>
            </a:lnSpc>
            <a:spcBef>
              <a:spcPts val="0"/>
            </a:spcBef>
            <a:spcAft>
              <a:spcPts val="0"/>
            </a:spcAft>
            <a:buClrTx/>
            <a:buSzTx/>
            <a:buFontTx/>
            <a:buNone/>
            <a:tabLst/>
            <a:defRPr/>
          </a:pPr>
          <a:endParaRPr lang="en-NZ" sz="1100" baseline="0">
            <a:latin typeface="+mj-lt"/>
          </a:endParaRPr>
        </a:p>
        <a:p>
          <a:r>
            <a:rPr lang="en-NZ" sz="1100" b="0" baseline="0">
              <a:latin typeface="+mn-lt"/>
            </a:rPr>
            <a:t>Solution</a:t>
          </a:r>
        </a:p>
        <a:p>
          <a:r>
            <a:rPr lang="en-NZ" sz="1100" baseline="0">
              <a:latin typeface="+mj-lt"/>
            </a:rPr>
            <a:t>There are only 158 variables, so the model is small. However, the CBC solver's progress is slow and it has difficulty proving optimality.</a:t>
          </a:r>
        </a:p>
        <a:p>
          <a:r>
            <a:rPr lang="en-NZ" sz="1100" baseline="0">
              <a:latin typeface="+mj-lt"/>
            </a:rPr>
            <a:t>As an alternative, we can use the commercial CPLEX solver via NEOS Server. CPLEX finds, and proves, an optimal solution in about 20 seconds.</a:t>
          </a:r>
        </a:p>
        <a:p>
          <a:endParaRPr lang="en-NZ" sz="1100" baseline="0">
            <a:latin typeface="+mj-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22</xdr:col>
      <xdr:colOff>0</xdr:colOff>
      <xdr:row>6</xdr:row>
      <xdr:rowOff>171450</xdr:rowOff>
    </xdr:to>
    <xdr:sp macro="" textlink="">
      <xdr:nvSpPr>
        <xdr:cNvPr id="3" name="TextBox 2">
          <a:extLst>
            <a:ext uri="{FF2B5EF4-FFF2-40B4-BE49-F238E27FC236}">
              <a16:creationId xmlns:a16="http://schemas.microsoft.com/office/drawing/2014/main" id="{724E2015-48BD-4AAF-B81D-BEBA35F347A9}"/>
            </a:ext>
          </a:extLst>
        </xdr:cNvPr>
        <xdr:cNvSpPr txBox="1"/>
      </xdr:nvSpPr>
      <xdr:spPr>
        <a:xfrm>
          <a:off x="0" y="676275"/>
          <a:ext cx="16859250" cy="1123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18000" bIns="18000" rtlCol="0" anchor="t"/>
        <a:lstStyle/>
        <a:p>
          <a:endParaRPr lang="en-NZ" sz="1100" b="0" i="0" baseline="0">
            <a:solidFill>
              <a:schemeClr val="dk1"/>
            </a:solidFill>
            <a:effectLst/>
            <a:latin typeface="+mj-lt"/>
            <a:ea typeface="+mn-ea"/>
            <a:cs typeface="+mn-cs"/>
          </a:endParaRPr>
        </a:p>
      </xdr:txBody>
    </xdr:sp>
    <xdr:clientData/>
  </xdr:twoCellAnchor>
  <xdr:twoCellAnchor>
    <xdr:from>
      <xdr:col>0</xdr:col>
      <xdr:colOff>0</xdr:colOff>
      <xdr:row>8</xdr:row>
      <xdr:rowOff>0</xdr:rowOff>
    </xdr:from>
    <xdr:to>
      <xdr:col>11</xdr:col>
      <xdr:colOff>0</xdr:colOff>
      <xdr:row>13</xdr:row>
      <xdr:rowOff>0</xdr:rowOff>
    </xdr:to>
    <xdr:sp macro="" textlink="">
      <xdr:nvSpPr>
        <xdr:cNvPr id="4" name="TextBox 3">
          <a:extLst>
            <a:ext uri="{FF2B5EF4-FFF2-40B4-BE49-F238E27FC236}">
              <a16:creationId xmlns:a16="http://schemas.microsoft.com/office/drawing/2014/main" id="{BB1A4342-8821-44F5-ADCC-CEED4DB5262F}"/>
            </a:ext>
          </a:extLst>
        </xdr:cNvPr>
        <xdr:cNvSpPr txBox="1"/>
      </xdr:nvSpPr>
      <xdr:spPr>
        <a:xfrm>
          <a:off x="0" y="2038350"/>
          <a:ext cx="6810375"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18000" bIns="18000" rtlCol="0" anchor="t"/>
        <a:lstStyle/>
        <a:p>
          <a:endParaRPr lang="en-NZ" sz="1200" b="0" baseline="0">
            <a:solidFill>
              <a:schemeClr val="dk1"/>
            </a:solidFill>
            <a:effectLst/>
            <a:latin typeface="+mj-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3</xdr:row>
      <xdr:rowOff>0</xdr:rowOff>
    </xdr:from>
    <xdr:to>
      <xdr:col>16</xdr:col>
      <xdr:colOff>0</xdr:colOff>
      <xdr:row>28</xdr:row>
      <xdr:rowOff>0</xdr:rowOff>
    </xdr:to>
    <xdr:sp macro="" textlink="">
      <xdr:nvSpPr>
        <xdr:cNvPr id="2" name="TextBox 1">
          <a:extLst>
            <a:ext uri="{FF2B5EF4-FFF2-40B4-BE49-F238E27FC236}">
              <a16:creationId xmlns:a16="http://schemas.microsoft.com/office/drawing/2014/main" id="{1AE1165F-AB6B-4728-B84F-F4330A2F37AD}"/>
            </a:ext>
          </a:extLst>
        </xdr:cNvPr>
        <xdr:cNvSpPr txBox="1"/>
      </xdr:nvSpPr>
      <xdr:spPr>
        <a:xfrm>
          <a:off x="2190750" y="676275"/>
          <a:ext cx="7429500" cy="479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18000" bIns="18000" rtlCol="0" anchor="t"/>
        <a:lstStyle/>
        <a:p>
          <a:r>
            <a:rPr lang="en-NZ" sz="1200" b="0" i="0">
              <a:latin typeface="+mn-lt"/>
              <a:cs typeface="Segoe UI Semilight" panose="020B0402040204020203" pitchFamily="34" charset="0"/>
            </a:rPr>
            <a:t>Named ranges</a:t>
          </a:r>
        </a:p>
        <a:p>
          <a:r>
            <a:rPr lang="en-NZ" sz="1100">
              <a:latin typeface="+mj-lt"/>
              <a:cs typeface="Segoe UI Semilight" panose="020B0402040204020203" pitchFamily="34" charset="0"/>
            </a:rPr>
            <a:t>To make the Solver dialog easier to understand, the model's data, formulae, and variables are defined as range names that use the following convention:</a:t>
          </a:r>
          <a:endParaRPr lang="en-NZ" sz="1100" baseline="0">
            <a:latin typeface="+mj-lt"/>
            <a:cs typeface="Segoe UI Semilight" panose="020B0402040204020203" pitchFamily="34" charset="0"/>
          </a:endParaRPr>
        </a:p>
        <a:p>
          <a:r>
            <a:rPr lang="en-NZ" sz="1100" baseline="0">
              <a:latin typeface="+mj-lt"/>
              <a:cs typeface="Segoe UI Semilight" panose="020B0402040204020203" pitchFamily="34" charset="0"/>
            </a:rPr>
            <a:t>- Data range names start with d.</a:t>
          </a:r>
        </a:p>
        <a:p>
          <a:r>
            <a:rPr lang="en-NZ" sz="1100" baseline="0">
              <a:latin typeface="+mj-lt"/>
              <a:cs typeface="Segoe UI Semilight" panose="020B0402040204020203" pitchFamily="34" charset="0"/>
            </a:rPr>
            <a:t>- Formulae range names start with f.</a:t>
          </a:r>
        </a:p>
        <a:p>
          <a:r>
            <a:rPr lang="en-NZ" sz="1100" baseline="0">
              <a:latin typeface="+mj-lt"/>
              <a:cs typeface="Segoe UI Semilight" panose="020B0402040204020203" pitchFamily="34" charset="0"/>
            </a:rPr>
            <a:t>- Variable range names start with v.</a:t>
          </a:r>
          <a:endParaRPr lang="en-NZ" sz="1100">
            <a:latin typeface="+mj-lt"/>
            <a:cs typeface="Segoe UI Semilight" panose="020B0402040204020203"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olvermax.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96C7C-F2A9-46DD-A126-9EF2FB1344E4}">
  <sheetPr codeName="Sheet2">
    <pageSetUpPr fitToPage="1"/>
  </sheetPr>
  <dimension ref="A1:L26"/>
  <sheetViews>
    <sheetView showGridLines="0" tabSelected="1" zoomScaleNormal="100" workbookViewId="0">
      <selection activeCell="A2" sqref="A2"/>
    </sheetView>
  </sheetViews>
  <sheetFormatPr defaultColWidth="0" defaultRowHeight="15" zeroHeight="1" x14ac:dyDescent="0.25"/>
  <cols>
    <col min="1" max="10" width="9" customWidth="1"/>
    <col min="11" max="11" width="17.75" customWidth="1"/>
    <col min="12" max="12" width="2.75" customWidth="1"/>
    <col min="13" max="16384" width="8" hidden="1"/>
  </cols>
  <sheetData>
    <row r="1" spans="1:11" ht="21" x14ac:dyDescent="0.35">
      <c r="A1" s="16" t="s">
        <v>7</v>
      </c>
    </row>
    <row r="2" spans="1:11" x14ac:dyDescent="0.25"/>
    <row r="3" spans="1:11" x14ac:dyDescent="0.25"/>
    <row r="4" spans="1:11" x14ac:dyDescent="0.25"/>
    <row r="5" spans="1:11" x14ac:dyDescent="0.25"/>
    <row r="6" spans="1:11" x14ac:dyDescent="0.25"/>
    <row r="7" spans="1:11" x14ac:dyDescent="0.25"/>
    <row r="8" spans="1:11" x14ac:dyDescent="0.25"/>
    <row r="9" spans="1:11" x14ac:dyDescent="0.25"/>
    <row r="10" spans="1:11" x14ac:dyDescent="0.25"/>
    <row r="11" spans="1:11" x14ac:dyDescent="0.25">
      <c r="K11" s="10" t="s">
        <v>10</v>
      </c>
    </row>
    <row r="12" spans="1:11" x14ac:dyDescent="0.25"/>
    <row r="13" spans="1:11" x14ac:dyDescent="0.25"/>
    <row r="14" spans="1:11" x14ac:dyDescent="0.25"/>
    <row r="15" spans="1:11" ht="15.75" x14ac:dyDescent="0.25">
      <c r="K15" s="8" t="s">
        <v>1</v>
      </c>
    </row>
    <row r="16" spans="1:11" x14ac:dyDescent="0.25">
      <c r="K16" s="1" t="s">
        <v>3</v>
      </c>
    </row>
    <row r="17" spans="11:11" x14ac:dyDescent="0.25">
      <c r="K17" s="2" t="s">
        <v>4</v>
      </c>
    </row>
    <row r="18" spans="11:11" x14ac:dyDescent="0.25">
      <c r="K18" s="4" t="s">
        <v>5</v>
      </c>
    </row>
    <row r="19" spans="11:11" x14ac:dyDescent="0.25">
      <c r="K19" s="15" t="s">
        <v>16</v>
      </c>
    </row>
    <row r="20" spans="11:11" x14ac:dyDescent="0.25">
      <c r="K20" s="3" t="s">
        <v>8</v>
      </c>
    </row>
    <row r="21" spans="11:11" x14ac:dyDescent="0.25">
      <c r="K21" s="5" t="s">
        <v>6</v>
      </c>
    </row>
    <row r="22" spans="11:11" x14ac:dyDescent="0.25"/>
    <row r="23" spans="11:11" ht="15.75" x14ac:dyDescent="0.25">
      <c r="K23" s="8" t="s">
        <v>2</v>
      </c>
    </row>
    <row r="24" spans="11:11" x14ac:dyDescent="0.25">
      <c r="K24" t="s">
        <v>75</v>
      </c>
    </row>
    <row r="25" spans="11:11" x14ac:dyDescent="0.25">
      <c r="K25" s="9">
        <v>44519</v>
      </c>
    </row>
    <row r="26" spans="11:11" x14ac:dyDescent="0.25"/>
  </sheetData>
  <hyperlinks>
    <hyperlink ref="K11" r:id="rId1" xr:uid="{89BBA00B-48F7-4111-A942-44FF0006F910}"/>
  </hyperlinks>
  <pageMargins left="0.59055118110236227" right="0.59055118110236227" top="0.59055118110236227" bottom="0.59055118110236227" header="0.31496062992125984" footer="0.31496062992125984"/>
  <pageSetup paperSize="9" orientation="landscape" horizontalDpi="4294967292" verticalDpi="0" r:id="rId2"/>
  <headerFooter>
    <oddFooter>&amp;LFile: &amp;F, Worksheet: &amp;A&amp;CPage &amp;P of &amp;N&amp;RCopyright www.solvermax.com</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9A0A5-EEBD-40BF-A12C-CA3B24407AEA}">
  <sheetPr codeName="Sheet1"/>
  <dimension ref="A1:AM84"/>
  <sheetViews>
    <sheetView showGridLines="0" workbookViewId="0">
      <selection activeCell="A2" sqref="A2"/>
    </sheetView>
  </sheetViews>
  <sheetFormatPr defaultColWidth="0" defaultRowHeight="15" zeroHeight="1" x14ac:dyDescent="0.25"/>
  <cols>
    <col min="1" max="5" width="11.25" style="29" customWidth="1"/>
    <col min="6" max="6" width="3.75" style="29" customWidth="1"/>
    <col min="7" max="7" width="11.25" style="29" customWidth="1"/>
    <col min="8" max="13" width="5" style="29" customWidth="1"/>
    <col min="14" max="14" width="2.5" style="29" customWidth="1"/>
    <col min="15" max="15" width="8.75" style="29" customWidth="1"/>
    <col min="16" max="19" width="11.25" style="29" customWidth="1"/>
    <col min="20" max="20" width="2.5" style="29" customWidth="1"/>
    <col min="21" max="29" width="7.5" style="29" customWidth="1"/>
    <col min="30" max="30" width="2.5" style="29" customWidth="1"/>
    <col min="31" max="38" width="8" style="29" hidden="1" customWidth="1"/>
    <col min="39" max="39" width="0" style="29" hidden="1" customWidth="1"/>
    <col min="40" max="16384" width="8" style="29" hidden="1"/>
  </cols>
  <sheetData>
    <row r="1" spans="1:29" ht="21" x14ac:dyDescent="0.35">
      <c r="A1" s="7" t="s">
        <v>72</v>
      </c>
    </row>
    <row r="2" spans="1:29" x14ac:dyDescent="0.25"/>
    <row r="3" spans="1:29" ht="17.25" x14ac:dyDescent="0.3">
      <c r="A3" s="55" t="s">
        <v>71</v>
      </c>
      <c r="B3" s="30"/>
      <c r="C3" s="30"/>
      <c r="D3" s="30"/>
      <c r="E3" s="30"/>
      <c r="F3" s="30"/>
      <c r="G3" s="30"/>
      <c r="H3" s="30"/>
      <c r="I3" s="30"/>
      <c r="J3" s="30"/>
      <c r="K3" s="30"/>
      <c r="L3" s="30"/>
      <c r="M3" s="30"/>
      <c r="O3" s="55" t="s">
        <v>9</v>
      </c>
      <c r="P3" s="31"/>
      <c r="Q3" s="31"/>
      <c r="R3" s="31"/>
      <c r="S3" s="31"/>
      <c r="T3" s="31"/>
      <c r="U3" s="31"/>
      <c r="V3" s="31"/>
      <c r="W3" s="31"/>
      <c r="X3" s="31"/>
      <c r="Y3" s="31"/>
      <c r="Z3" s="31"/>
      <c r="AA3" s="31"/>
      <c r="AB3" s="31"/>
      <c r="AC3" s="31"/>
    </row>
    <row r="4" spans="1:29" x14ac:dyDescent="0.25">
      <c r="A4" s="32"/>
      <c r="B4" s="32"/>
      <c r="C4" s="32"/>
      <c r="D4" s="32"/>
      <c r="E4" s="32"/>
    </row>
    <row r="5" spans="1:29" ht="15.75" x14ac:dyDescent="0.25">
      <c r="B5" s="56" t="s">
        <v>18</v>
      </c>
      <c r="C5" s="33"/>
      <c r="D5" s="33"/>
      <c r="E5" s="33"/>
      <c r="H5" s="56" t="s">
        <v>21</v>
      </c>
      <c r="I5" s="33"/>
      <c r="J5" s="33"/>
      <c r="K5" s="33"/>
      <c r="L5" s="33"/>
      <c r="M5" s="33"/>
    </row>
    <row r="6" spans="1:29" x14ac:dyDescent="0.25">
      <c r="B6" s="34" t="s">
        <v>70</v>
      </c>
      <c r="C6" s="34" t="s">
        <v>69</v>
      </c>
      <c r="D6" s="34" t="s">
        <v>68</v>
      </c>
      <c r="E6" s="34" t="s">
        <v>67</v>
      </c>
      <c r="H6" s="35">
        <v>1</v>
      </c>
      <c r="I6" s="35">
        <v>2</v>
      </c>
      <c r="J6" s="35">
        <v>3</v>
      </c>
      <c r="K6" s="35">
        <v>4</v>
      </c>
      <c r="L6" s="35">
        <v>5</v>
      </c>
      <c r="M6" s="35" t="s">
        <v>25</v>
      </c>
    </row>
    <row r="7" spans="1:29" ht="15.75" x14ac:dyDescent="0.25">
      <c r="A7" s="57" t="s">
        <v>66</v>
      </c>
      <c r="B7" s="37">
        <v>5</v>
      </c>
      <c r="C7" s="37">
        <v>2</v>
      </c>
      <c r="D7" s="37">
        <v>1</v>
      </c>
      <c r="E7" s="37">
        <v>10</v>
      </c>
      <c r="G7" s="36" t="s">
        <v>65</v>
      </c>
      <c r="H7" s="38">
        <v>6</v>
      </c>
      <c r="I7" s="38">
        <v>6</v>
      </c>
      <c r="J7" s="38">
        <v>6</v>
      </c>
      <c r="K7" s="38">
        <v>6</v>
      </c>
      <c r="L7" s="38">
        <v>6</v>
      </c>
      <c r="M7" s="39">
        <f>SUM(H7:L7)</f>
        <v>30</v>
      </c>
    </row>
    <row r="8" spans="1:29" x14ac:dyDescent="0.25">
      <c r="B8" s="40"/>
      <c r="C8" s="40"/>
      <c r="D8" s="40"/>
      <c r="E8" s="40"/>
    </row>
    <row r="9" spans="1:29" ht="15.75" x14ac:dyDescent="0.25">
      <c r="A9" s="58" t="s">
        <v>64</v>
      </c>
      <c r="B9" s="56" t="s">
        <v>18</v>
      </c>
      <c r="C9" s="33"/>
      <c r="D9" s="33"/>
      <c r="E9" s="33"/>
    </row>
    <row r="10" spans="1:29" ht="15" customHeight="1" x14ac:dyDescent="0.25">
      <c r="A10" s="41" t="s">
        <v>63</v>
      </c>
      <c r="B10" s="34" t="str">
        <f>B6</f>
        <v>Experience</v>
      </c>
      <c r="C10" s="34" t="str">
        <f>C6</f>
        <v>Qualifications</v>
      </c>
      <c r="D10" s="34" t="str">
        <f>D6</f>
        <v>Tenure</v>
      </c>
      <c r="E10" s="34" t="str">
        <f>E6</f>
        <v>Overall</v>
      </c>
    </row>
    <row r="11" spans="1:29" x14ac:dyDescent="0.25">
      <c r="A11" s="42" t="s">
        <v>62</v>
      </c>
      <c r="B11" s="43">
        <v>48</v>
      </c>
      <c r="C11" s="43">
        <v>33</v>
      </c>
      <c r="D11" s="43">
        <v>41</v>
      </c>
      <c r="E11" s="44">
        <f t="shared" ref="E11:E40" si="0">SUM(B11:D11)</f>
        <v>122</v>
      </c>
    </row>
    <row r="12" spans="1:29" x14ac:dyDescent="0.25">
      <c r="A12" s="42" t="s">
        <v>61</v>
      </c>
      <c r="B12" s="43">
        <v>90</v>
      </c>
      <c r="C12" s="43">
        <v>46</v>
      </c>
      <c r="D12" s="43">
        <v>11</v>
      </c>
      <c r="E12" s="44">
        <f t="shared" si="0"/>
        <v>147</v>
      </c>
    </row>
    <row r="13" spans="1:29" x14ac:dyDescent="0.25">
      <c r="A13" s="42" t="s">
        <v>60</v>
      </c>
      <c r="B13" s="43">
        <v>40</v>
      </c>
      <c r="C13" s="43">
        <v>36</v>
      </c>
      <c r="D13" s="43">
        <v>62</v>
      </c>
      <c r="E13" s="44">
        <f t="shared" si="0"/>
        <v>138</v>
      </c>
    </row>
    <row r="14" spans="1:29" x14ac:dyDescent="0.25">
      <c r="A14" s="42" t="s">
        <v>59</v>
      </c>
      <c r="B14" s="43">
        <v>98</v>
      </c>
      <c r="C14" s="43">
        <v>19</v>
      </c>
      <c r="D14" s="43">
        <v>45</v>
      </c>
      <c r="E14" s="44">
        <f t="shared" si="0"/>
        <v>162</v>
      </c>
    </row>
    <row r="15" spans="1:29" x14ac:dyDescent="0.25">
      <c r="A15" s="42" t="s">
        <v>58</v>
      </c>
      <c r="B15" s="43">
        <v>38</v>
      </c>
      <c r="C15" s="43">
        <v>43</v>
      </c>
      <c r="D15" s="43">
        <v>33</v>
      </c>
      <c r="E15" s="44">
        <f t="shared" si="0"/>
        <v>114</v>
      </c>
    </row>
    <row r="16" spans="1:29" x14ac:dyDescent="0.25">
      <c r="A16" s="42" t="s">
        <v>57</v>
      </c>
      <c r="B16" s="43">
        <v>93</v>
      </c>
      <c r="C16" s="43">
        <v>43</v>
      </c>
      <c r="D16" s="43">
        <v>59</v>
      </c>
      <c r="E16" s="44">
        <f t="shared" si="0"/>
        <v>195</v>
      </c>
    </row>
    <row r="17" spans="1:5" x14ac:dyDescent="0.25">
      <c r="A17" s="42" t="s">
        <v>56</v>
      </c>
      <c r="B17" s="43">
        <v>28</v>
      </c>
      <c r="C17" s="43">
        <v>42</v>
      </c>
      <c r="D17" s="43">
        <v>99</v>
      </c>
      <c r="E17" s="44">
        <f t="shared" si="0"/>
        <v>169</v>
      </c>
    </row>
    <row r="18" spans="1:5" x14ac:dyDescent="0.25">
      <c r="A18" s="42" t="s">
        <v>55</v>
      </c>
      <c r="B18" s="43">
        <v>78</v>
      </c>
      <c r="C18" s="43">
        <v>19</v>
      </c>
      <c r="D18" s="43">
        <v>66</v>
      </c>
      <c r="E18" s="44">
        <f t="shared" si="0"/>
        <v>163</v>
      </c>
    </row>
    <row r="19" spans="1:5" x14ac:dyDescent="0.25">
      <c r="A19" s="42" t="s">
        <v>54</v>
      </c>
      <c r="B19" s="43">
        <v>37</v>
      </c>
      <c r="C19" s="43">
        <v>34</v>
      </c>
      <c r="D19" s="43">
        <v>86</v>
      </c>
      <c r="E19" s="44">
        <f t="shared" si="0"/>
        <v>157</v>
      </c>
    </row>
    <row r="20" spans="1:5" x14ac:dyDescent="0.25">
      <c r="A20" s="42" t="s">
        <v>53</v>
      </c>
      <c r="B20" s="43">
        <v>30</v>
      </c>
      <c r="C20" s="43">
        <v>95</v>
      </c>
      <c r="D20" s="43">
        <v>45</v>
      </c>
      <c r="E20" s="44">
        <f t="shared" si="0"/>
        <v>170</v>
      </c>
    </row>
    <row r="21" spans="1:5" x14ac:dyDescent="0.25">
      <c r="A21" s="42" t="s">
        <v>52</v>
      </c>
      <c r="B21" s="43">
        <v>10</v>
      </c>
      <c r="C21" s="43">
        <v>81</v>
      </c>
      <c r="D21" s="43">
        <v>51</v>
      </c>
      <c r="E21" s="44">
        <f t="shared" si="0"/>
        <v>142</v>
      </c>
    </row>
    <row r="22" spans="1:5" x14ac:dyDescent="0.25">
      <c r="A22" s="42" t="s">
        <v>51</v>
      </c>
      <c r="B22" s="43">
        <v>67</v>
      </c>
      <c r="C22" s="43">
        <v>42</v>
      </c>
      <c r="D22" s="43">
        <v>26</v>
      </c>
      <c r="E22" s="44">
        <f t="shared" si="0"/>
        <v>135</v>
      </c>
    </row>
    <row r="23" spans="1:5" x14ac:dyDescent="0.25">
      <c r="A23" s="42" t="s">
        <v>50</v>
      </c>
      <c r="B23" s="43">
        <v>75</v>
      </c>
      <c r="C23" s="43">
        <v>19</v>
      </c>
      <c r="D23" s="43">
        <v>94</v>
      </c>
      <c r="E23" s="44">
        <f t="shared" si="0"/>
        <v>188</v>
      </c>
    </row>
    <row r="24" spans="1:5" x14ac:dyDescent="0.25">
      <c r="A24" s="42" t="s">
        <v>49</v>
      </c>
      <c r="B24" s="43">
        <v>79</v>
      </c>
      <c r="C24" s="43">
        <v>3</v>
      </c>
      <c r="D24" s="43">
        <v>35</v>
      </c>
      <c r="E24" s="44">
        <f t="shared" si="0"/>
        <v>117</v>
      </c>
    </row>
    <row r="25" spans="1:5" x14ac:dyDescent="0.25">
      <c r="A25" s="42" t="s">
        <v>48</v>
      </c>
      <c r="B25" s="43">
        <v>31</v>
      </c>
      <c r="C25" s="43">
        <v>50</v>
      </c>
      <c r="D25" s="43">
        <v>86</v>
      </c>
      <c r="E25" s="44">
        <f t="shared" si="0"/>
        <v>167</v>
      </c>
    </row>
    <row r="26" spans="1:5" x14ac:dyDescent="0.25">
      <c r="A26" s="42" t="s">
        <v>47</v>
      </c>
      <c r="B26" s="43">
        <v>26</v>
      </c>
      <c r="C26" s="43">
        <v>14</v>
      </c>
      <c r="D26" s="43">
        <v>74</v>
      </c>
      <c r="E26" s="44">
        <f t="shared" si="0"/>
        <v>114</v>
      </c>
    </row>
    <row r="27" spans="1:5" x14ac:dyDescent="0.25">
      <c r="A27" s="42" t="s">
        <v>46</v>
      </c>
      <c r="B27" s="43">
        <v>93</v>
      </c>
      <c r="C27" s="43">
        <v>7</v>
      </c>
      <c r="D27" s="43">
        <v>21</v>
      </c>
      <c r="E27" s="44">
        <f t="shared" si="0"/>
        <v>121</v>
      </c>
    </row>
    <row r="28" spans="1:5" x14ac:dyDescent="0.25">
      <c r="A28" s="42" t="s">
        <v>45</v>
      </c>
      <c r="B28" s="43">
        <v>70</v>
      </c>
      <c r="C28" s="43">
        <v>22</v>
      </c>
      <c r="D28" s="43">
        <v>76</v>
      </c>
      <c r="E28" s="44">
        <f t="shared" si="0"/>
        <v>168</v>
      </c>
    </row>
    <row r="29" spans="1:5" x14ac:dyDescent="0.25">
      <c r="A29" s="42" t="s">
        <v>44</v>
      </c>
      <c r="B29" s="43">
        <v>80</v>
      </c>
      <c r="C29" s="43">
        <v>72</v>
      </c>
      <c r="D29" s="43">
        <v>98</v>
      </c>
      <c r="E29" s="44">
        <f t="shared" si="0"/>
        <v>250</v>
      </c>
    </row>
    <row r="30" spans="1:5" x14ac:dyDescent="0.25">
      <c r="A30" s="42" t="s">
        <v>43</v>
      </c>
      <c r="B30" s="43">
        <v>3</v>
      </c>
      <c r="C30" s="43">
        <v>90</v>
      </c>
      <c r="D30" s="43">
        <v>31</v>
      </c>
      <c r="E30" s="44">
        <f t="shared" si="0"/>
        <v>124</v>
      </c>
    </row>
    <row r="31" spans="1:5" x14ac:dyDescent="0.25">
      <c r="A31" s="42" t="s">
        <v>42</v>
      </c>
      <c r="B31" s="43">
        <v>18</v>
      </c>
      <c r="C31" s="43">
        <v>47</v>
      </c>
      <c r="D31" s="43">
        <v>56</v>
      </c>
      <c r="E31" s="44">
        <f t="shared" si="0"/>
        <v>121</v>
      </c>
    </row>
    <row r="32" spans="1:5" x14ac:dyDescent="0.25">
      <c r="A32" s="42" t="s">
        <v>41</v>
      </c>
      <c r="B32" s="43">
        <v>76</v>
      </c>
      <c r="C32" s="43">
        <v>65</v>
      </c>
      <c r="D32" s="43">
        <v>79</v>
      </c>
      <c r="E32" s="44">
        <f t="shared" si="0"/>
        <v>220</v>
      </c>
    </row>
    <row r="33" spans="1:22" x14ac:dyDescent="0.25">
      <c r="A33" s="42" t="s">
        <v>40</v>
      </c>
      <c r="B33" s="43">
        <v>16</v>
      </c>
      <c r="C33" s="43">
        <v>59</v>
      </c>
      <c r="D33" s="43">
        <v>3</v>
      </c>
      <c r="E33" s="44">
        <f t="shared" si="0"/>
        <v>78</v>
      </c>
    </row>
    <row r="34" spans="1:22" x14ac:dyDescent="0.25">
      <c r="A34" s="42" t="s">
        <v>39</v>
      </c>
      <c r="B34" s="43">
        <v>64</v>
      </c>
      <c r="C34" s="43">
        <v>33</v>
      </c>
      <c r="D34" s="43">
        <v>23</v>
      </c>
      <c r="E34" s="44">
        <f t="shared" si="0"/>
        <v>120</v>
      </c>
    </row>
    <row r="35" spans="1:22" x14ac:dyDescent="0.25">
      <c r="A35" s="42" t="s">
        <v>38</v>
      </c>
      <c r="B35" s="43">
        <v>35</v>
      </c>
      <c r="C35" s="43">
        <v>98</v>
      </c>
      <c r="D35" s="43">
        <v>29</v>
      </c>
      <c r="E35" s="44">
        <f t="shared" si="0"/>
        <v>162</v>
      </c>
    </row>
    <row r="36" spans="1:22" x14ac:dyDescent="0.25">
      <c r="A36" s="42" t="s">
        <v>37</v>
      </c>
      <c r="B36" s="43">
        <v>31</v>
      </c>
      <c r="C36" s="43">
        <v>77</v>
      </c>
      <c r="D36" s="43">
        <v>86</v>
      </c>
      <c r="E36" s="44">
        <f t="shared" si="0"/>
        <v>194</v>
      </c>
    </row>
    <row r="37" spans="1:22" x14ac:dyDescent="0.25">
      <c r="A37" s="42" t="s">
        <v>36</v>
      </c>
      <c r="B37" s="43">
        <v>31</v>
      </c>
      <c r="C37" s="43">
        <v>42</v>
      </c>
      <c r="D37" s="43">
        <v>58</v>
      </c>
      <c r="E37" s="44">
        <f t="shared" si="0"/>
        <v>131</v>
      </c>
    </row>
    <row r="38" spans="1:22" x14ac:dyDescent="0.25">
      <c r="A38" s="42" t="s">
        <v>35</v>
      </c>
      <c r="B38" s="43">
        <v>48</v>
      </c>
      <c r="C38" s="43">
        <v>77</v>
      </c>
      <c r="D38" s="43">
        <v>13</v>
      </c>
      <c r="E38" s="44">
        <f t="shared" si="0"/>
        <v>138</v>
      </c>
    </row>
    <row r="39" spans="1:22" x14ac:dyDescent="0.25">
      <c r="A39" s="42" t="s">
        <v>34</v>
      </c>
      <c r="B39" s="43">
        <v>73</v>
      </c>
      <c r="C39" s="43">
        <v>15</v>
      </c>
      <c r="D39" s="43">
        <v>10</v>
      </c>
      <c r="E39" s="44">
        <f t="shared" si="0"/>
        <v>98</v>
      </c>
    </row>
    <row r="40" spans="1:22" x14ac:dyDescent="0.25">
      <c r="A40" s="42" t="s">
        <v>33</v>
      </c>
      <c r="B40" s="43">
        <v>48</v>
      </c>
      <c r="C40" s="43">
        <v>33</v>
      </c>
      <c r="D40" s="43">
        <v>52</v>
      </c>
      <c r="E40" s="44">
        <f t="shared" si="0"/>
        <v>133</v>
      </c>
    </row>
    <row r="41" spans="1:22" x14ac:dyDescent="0.25">
      <c r="A41" s="45" t="s">
        <v>25</v>
      </c>
      <c r="B41" s="46">
        <f>SUM(B11:B40)</f>
        <v>1554</v>
      </c>
      <c r="C41" s="46">
        <f>SUM(C11:C40)</f>
        <v>1356</v>
      </c>
      <c r="D41" s="46">
        <f>SUM(D11:D40)</f>
        <v>1548</v>
      </c>
      <c r="E41" s="46">
        <f>SUM(E11:E40)</f>
        <v>4458</v>
      </c>
    </row>
    <row r="42" spans="1:22" x14ac:dyDescent="0.25"/>
    <row r="43" spans="1:22" ht="17.25" x14ac:dyDescent="0.3">
      <c r="A43" s="6" t="s">
        <v>32</v>
      </c>
      <c r="B43" s="31"/>
      <c r="C43" s="31"/>
      <c r="D43" s="31"/>
      <c r="E43" s="31"/>
      <c r="F43" s="31"/>
      <c r="G43" s="31"/>
      <c r="H43" s="31"/>
      <c r="I43" s="31"/>
      <c r="J43" s="31"/>
      <c r="K43" s="31"/>
      <c r="L43" s="31"/>
      <c r="M43" s="31"/>
      <c r="O43" s="6" t="s">
        <v>23</v>
      </c>
      <c r="P43" s="31"/>
      <c r="Q43" s="31"/>
      <c r="R43" s="31"/>
      <c r="S43" s="31"/>
      <c r="U43" s="6" t="s">
        <v>31</v>
      </c>
      <c r="V43" s="31"/>
    </row>
    <row r="44" spans="1:22" x14ac:dyDescent="0.25"/>
    <row r="45" spans="1:22" ht="15.75" x14ac:dyDescent="0.25">
      <c r="B45" s="56" t="s">
        <v>30</v>
      </c>
      <c r="C45" s="33"/>
      <c r="D45" s="33"/>
      <c r="E45" s="33"/>
      <c r="G45" s="58" t="s">
        <v>29</v>
      </c>
      <c r="H45" s="56" t="s">
        <v>21</v>
      </c>
      <c r="I45" s="33"/>
      <c r="J45" s="33"/>
      <c r="K45" s="33"/>
      <c r="L45" s="33"/>
      <c r="M45" s="33"/>
      <c r="O45" s="57" t="s">
        <v>22</v>
      </c>
      <c r="P45" s="56" t="s">
        <v>18</v>
      </c>
      <c r="Q45" s="33"/>
      <c r="R45" s="33"/>
      <c r="S45" s="33"/>
      <c r="U45" s="21" t="s">
        <v>17</v>
      </c>
      <c r="V45" s="31"/>
    </row>
    <row r="46" spans="1:22" ht="15.75" x14ac:dyDescent="0.25">
      <c r="A46" s="59" t="s">
        <v>28</v>
      </c>
      <c r="B46" s="47" t="str">
        <f>B6</f>
        <v>Experience</v>
      </c>
      <c r="C46" s="47" t="str">
        <f>C6</f>
        <v>Qualifications</v>
      </c>
      <c r="D46" s="47" t="str">
        <f>D6</f>
        <v>Tenure</v>
      </c>
      <c r="E46" s="47" t="str">
        <f>E6</f>
        <v>Overall</v>
      </c>
      <c r="G46" s="31" t="str">
        <f t="shared" ref="G46:G77" si="1">A10</f>
        <v>Person</v>
      </c>
      <c r="H46" s="35">
        <v>1</v>
      </c>
      <c r="I46" s="35">
        <v>2</v>
      </c>
      <c r="J46" s="35">
        <v>3</v>
      </c>
      <c r="K46" s="35">
        <v>4</v>
      </c>
      <c r="L46" s="35">
        <v>5</v>
      </c>
      <c r="M46" s="35" t="s">
        <v>25</v>
      </c>
      <c r="O46" s="52" t="s">
        <v>21</v>
      </c>
      <c r="P46" s="47" t="str">
        <f>B6</f>
        <v>Experience</v>
      </c>
      <c r="Q46" s="47" t="str">
        <f>C6</f>
        <v>Qualifications</v>
      </c>
      <c r="R46" s="47" t="str">
        <f>D6</f>
        <v>Tenure</v>
      </c>
      <c r="S46" s="47" t="str">
        <f>E6</f>
        <v>Overall</v>
      </c>
      <c r="U46" s="50" t="s">
        <v>25</v>
      </c>
      <c r="V46" s="51">
        <f>SUM(B50:E50)</f>
        <v>310</v>
      </c>
    </row>
    <row r="47" spans="1:22" x14ac:dyDescent="0.25">
      <c r="A47" s="48" t="s">
        <v>27</v>
      </c>
      <c r="B47" s="49">
        <v>300</v>
      </c>
      <c r="C47" s="49">
        <v>250</v>
      </c>
      <c r="D47" s="49">
        <v>285</v>
      </c>
      <c r="E47" s="49">
        <v>887</v>
      </c>
      <c r="G47" s="29" t="str">
        <f t="shared" si="1"/>
        <v>Aila</v>
      </c>
      <c r="H47" s="49">
        <v>0</v>
      </c>
      <c r="I47" s="49">
        <v>0</v>
      </c>
      <c r="J47" s="49">
        <v>1</v>
      </c>
      <c r="K47" s="49">
        <v>0</v>
      </c>
      <c r="L47" s="49">
        <v>0</v>
      </c>
      <c r="M47" s="39">
        <f t="shared" ref="M47:M76" si="2">SUM(H47:L47)</f>
        <v>1</v>
      </c>
      <c r="O47" s="48">
        <v>1</v>
      </c>
      <c r="P47" s="39">
        <f>SUMPRODUCT(B$11:B$40,$H$47:$H$76)</f>
        <v>300</v>
      </c>
      <c r="Q47" s="39">
        <f>SUMPRODUCT(C$11:C$40,$H$47:$H$76)</f>
        <v>257</v>
      </c>
      <c r="R47" s="39">
        <f>SUMPRODUCT(D$11:D$40,$H$47:$H$76)</f>
        <v>330</v>
      </c>
      <c r="S47" s="39">
        <f>SUM(P47:R47)</f>
        <v>887</v>
      </c>
      <c r="U47"/>
      <c r="V47"/>
    </row>
    <row r="48" spans="1:22" x14ac:dyDescent="0.25">
      <c r="A48" s="48" t="s">
        <v>26</v>
      </c>
      <c r="B48" s="49">
        <v>319</v>
      </c>
      <c r="C48" s="49">
        <v>290</v>
      </c>
      <c r="D48" s="49">
        <v>330</v>
      </c>
      <c r="E48" s="49">
        <v>896</v>
      </c>
      <c r="G48" s="29" t="str">
        <f t="shared" si="1"/>
        <v>Allister</v>
      </c>
      <c r="H48" s="49">
        <v>0</v>
      </c>
      <c r="I48" s="49">
        <v>0</v>
      </c>
      <c r="J48" s="49">
        <v>0</v>
      </c>
      <c r="K48" s="49">
        <v>1</v>
      </c>
      <c r="L48" s="49">
        <v>0</v>
      </c>
      <c r="M48" s="39">
        <f t="shared" si="2"/>
        <v>1</v>
      </c>
      <c r="O48" s="48">
        <v>2</v>
      </c>
      <c r="P48" s="39">
        <f>SUMPRODUCT(B$11:B$40,$I$47:$I$76)</f>
        <v>310</v>
      </c>
      <c r="Q48" s="39">
        <f>SUMPRODUCT(C$11:C$40,$I$47:$I$76)</f>
        <v>250</v>
      </c>
      <c r="R48" s="39">
        <f>SUMPRODUCT(D$11:D$40,$I$47:$I$76)</f>
        <v>327</v>
      </c>
      <c r="S48" s="39">
        <f>SUM(P48:R48)</f>
        <v>887</v>
      </c>
    </row>
    <row r="49" spans="1:19" x14ac:dyDescent="0.25">
      <c r="A49" s="50" t="s">
        <v>24</v>
      </c>
      <c r="B49" s="51">
        <f>B48-B47</f>
        <v>19</v>
      </c>
      <c r="C49" s="51">
        <f>C48-C47</f>
        <v>40</v>
      </c>
      <c r="D49" s="51">
        <f>D48-D47</f>
        <v>45</v>
      </c>
      <c r="E49" s="51">
        <f>E48-E47</f>
        <v>9</v>
      </c>
      <c r="G49" s="29" t="str">
        <f t="shared" si="1"/>
        <v>Arlie</v>
      </c>
      <c r="H49" s="49">
        <v>0</v>
      </c>
      <c r="I49" s="49">
        <v>0</v>
      </c>
      <c r="J49" s="49">
        <v>0</v>
      </c>
      <c r="K49" s="49">
        <v>0</v>
      </c>
      <c r="L49" s="49">
        <v>1</v>
      </c>
      <c r="M49" s="39">
        <f t="shared" si="2"/>
        <v>1</v>
      </c>
      <c r="O49" s="48">
        <v>3</v>
      </c>
      <c r="P49" s="39">
        <f>SUMPRODUCT(B$11:B$40,$J$47:$J$76)</f>
        <v>319</v>
      </c>
      <c r="Q49" s="39">
        <f>SUMPRODUCT(C$11:C$40,$J$47:$J$76)</f>
        <v>290</v>
      </c>
      <c r="R49" s="39">
        <f>SUMPRODUCT(D$11:D$40,$J$47:$J$76)</f>
        <v>285</v>
      </c>
      <c r="S49" s="39">
        <f>SUM(P49:R49)</f>
        <v>894</v>
      </c>
    </row>
    <row r="50" spans="1:19" x14ac:dyDescent="0.25">
      <c r="A50" s="29" t="s">
        <v>73</v>
      </c>
      <c r="B50" s="29">
        <f>B49*B7</f>
        <v>95</v>
      </c>
      <c r="C50" s="29">
        <f t="shared" ref="C50:E50" si="3">C49*C7</f>
        <v>80</v>
      </c>
      <c r="D50" s="29">
        <f t="shared" si="3"/>
        <v>45</v>
      </c>
      <c r="E50" s="29">
        <f t="shared" si="3"/>
        <v>90</v>
      </c>
      <c r="G50" s="29" t="str">
        <f t="shared" si="1"/>
        <v>Babette</v>
      </c>
      <c r="H50" s="49">
        <v>1</v>
      </c>
      <c r="I50" s="49">
        <v>0</v>
      </c>
      <c r="J50" s="49">
        <v>0</v>
      </c>
      <c r="K50" s="49">
        <v>0</v>
      </c>
      <c r="L50" s="49">
        <v>0</v>
      </c>
      <c r="M50" s="39">
        <f t="shared" si="2"/>
        <v>1</v>
      </c>
      <c r="O50" s="48">
        <v>4</v>
      </c>
      <c r="P50" s="39">
        <f>SUMPRODUCT(B$11:B$40,$K$47:$K$76)</f>
        <v>309</v>
      </c>
      <c r="Q50" s="39">
        <f>SUMPRODUCT(C$11:C$40,$K$47:$K$76)</f>
        <v>286</v>
      </c>
      <c r="R50" s="39">
        <f>SUMPRODUCT(D$11:D$40,$K$47:$K$76)</f>
        <v>301</v>
      </c>
      <c r="S50" s="39">
        <f>SUM(P50:R50)</f>
        <v>896</v>
      </c>
    </row>
    <row r="51" spans="1:19" x14ac:dyDescent="0.25">
      <c r="G51" s="29" t="str">
        <f t="shared" si="1"/>
        <v>Caresa</v>
      </c>
      <c r="H51" s="49">
        <v>0</v>
      </c>
      <c r="I51" s="49">
        <v>0</v>
      </c>
      <c r="J51" s="49">
        <v>0</v>
      </c>
      <c r="K51" s="49">
        <v>0</v>
      </c>
      <c r="L51" s="49">
        <v>1</v>
      </c>
      <c r="M51" s="39">
        <f t="shared" si="2"/>
        <v>1</v>
      </c>
      <c r="O51" s="48">
        <v>5</v>
      </c>
      <c r="P51" s="39">
        <f>SUMPRODUCT(B$11:B$40,$L$47:$L$76)</f>
        <v>316</v>
      </c>
      <c r="Q51" s="39">
        <f>SUMPRODUCT(C$11:C$40,$L$47:$L$76)</f>
        <v>273</v>
      </c>
      <c r="R51" s="39">
        <f>SUMPRODUCT(D$11:D$40,$L$47:$L$76)</f>
        <v>305</v>
      </c>
      <c r="S51" s="39">
        <f>SUM(P51:R51)</f>
        <v>894</v>
      </c>
    </row>
    <row r="52" spans="1:19" x14ac:dyDescent="0.25">
      <c r="G52" s="29" t="str">
        <f t="shared" si="1"/>
        <v>Chalmers</v>
      </c>
      <c r="H52" s="49">
        <v>0</v>
      </c>
      <c r="I52" s="49">
        <v>0</v>
      </c>
      <c r="J52" s="49">
        <v>0</v>
      </c>
      <c r="K52" s="49">
        <v>0</v>
      </c>
      <c r="L52" s="49">
        <v>1</v>
      </c>
      <c r="M52" s="39">
        <f t="shared" si="2"/>
        <v>1</v>
      </c>
      <c r="O52" s="48"/>
    </row>
    <row r="53" spans="1:19" ht="15.75" x14ac:dyDescent="0.25">
      <c r="G53" s="29" t="str">
        <f t="shared" si="1"/>
        <v>Charin</v>
      </c>
      <c r="H53" s="49">
        <v>0</v>
      </c>
      <c r="I53" s="49">
        <v>1</v>
      </c>
      <c r="J53" s="49">
        <v>0</v>
      </c>
      <c r="K53" s="49">
        <v>0</v>
      </c>
      <c r="L53" s="49">
        <v>0</v>
      </c>
      <c r="M53" s="39">
        <f t="shared" si="2"/>
        <v>1</v>
      </c>
      <c r="O53" s="57" t="s">
        <v>20</v>
      </c>
      <c r="P53" s="56" t="s">
        <v>18</v>
      </c>
      <c r="Q53" s="33"/>
      <c r="R53" s="33"/>
      <c r="S53" s="33"/>
    </row>
    <row r="54" spans="1:19" x14ac:dyDescent="0.25">
      <c r="G54" s="29" t="str">
        <f t="shared" si="1"/>
        <v>Elden</v>
      </c>
      <c r="H54" s="49">
        <v>0</v>
      </c>
      <c r="I54" s="49">
        <v>0</v>
      </c>
      <c r="J54" s="49">
        <v>0</v>
      </c>
      <c r="K54" s="49">
        <v>1</v>
      </c>
      <c r="L54" s="49">
        <v>0</v>
      </c>
      <c r="M54" s="39">
        <f t="shared" si="2"/>
        <v>1</v>
      </c>
      <c r="O54" s="52" t="str">
        <f t="shared" ref="O54:O59" si="4">O46</f>
        <v>Team</v>
      </c>
      <c r="P54" s="47" t="str">
        <f>B6</f>
        <v>Experience</v>
      </c>
      <c r="Q54" s="47" t="str">
        <f>C6</f>
        <v>Qualifications</v>
      </c>
      <c r="R54" s="47" t="str">
        <f>D6</f>
        <v>Tenure</v>
      </c>
      <c r="S54" s="47" t="str">
        <f>E6</f>
        <v>Overall</v>
      </c>
    </row>
    <row r="55" spans="1:19" x14ac:dyDescent="0.25">
      <c r="G55" s="29" t="str">
        <f t="shared" si="1"/>
        <v>Gian</v>
      </c>
      <c r="H55" s="49">
        <v>1</v>
      </c>
      <c r="I55" s="49">
        <v>0</v>
      </c>
      <c r="J55" s="49">
        <v>0</v>
      </c>
      <c r="K55" s="49">
        <v>0</v>
      </c>
      <c r="L55" s="49">
        <v>0</v>
      </c>
      <c r="M55" s="39">
        <f t="shared" si="2"/>
        <v>1</v>
      </c>
      <c r="O55" s="48">
        <f t="shared" si="4"/>
        <v>1</v>
      </c>
      <c r="P55" s="39">
        <f t="shared" ref="P55:S59" si="5">B$47</f>
        <v>300</v>
      </c>
      <c r="Q55" s="39">
        <f t="shared" si="5"/>
        <v>250</v>
      </c>
      <c r="R55" s="39">
        <f t="shared" si="5"/>
        <v>285</v>
      </c>
      <c r="S55" s="39">
        <f t="shared" si="5"/>
        <v>887</v>
      </c>
    </row>
    <row r="56" spans="1:19" x14ac:dyDescent="0.25">
      <c r="G56" s="29" t="str">
        <f t="shared" si="1"/>
        <v>Heloise</v>
      </c>
      <c r="H56" s="49">
        <v>0</v>
      </c>
      <c r="I56" s="49">
        <v>1</v>
      </c>
      <c r="J56" s="49">
        <v>0</v>
      </c>
      <c r="K56" s="49">
        <v>0</v>
      </c>
      <c r="L56" s="49">
        <v>0</v>
      </c>
      <c r="M56" s="39">
        <f t="shared" si="2"/>
        <v>1</v>
      </c>
      <c r="O56" s="48">
        <f t="shared" si="4"/>
        <v>2</v>
      </c>
      <c r="P56" s="39">
        <f t="shared" si="5"/>
        <v>300</v>
      </c>
      <c r="Q56" s="39">
        <f t="shared" si="5"/>
        <v>250</v>
      </c>
      <c r="R56" s="39">
        <f t="shared" si="5"/>
        <v>285</v>
      </c>
      <c r="S56" s="39">
        <f t="shared" si="5"/>
        <v>887</v>
      </c>
    </row>
    <row r="57" spans="1:19" x14ac:dyDescent="0.25">
      <c r="G57" s="29" t="str">
        <f t="shared" si="1"/>
        <v>Job</v>
      </c>
      <c r="H57" s="49">
        <v>0</v>
      </c>
      <c r="I57" s="49">
        <v>1</v>
      </c>
      <c r="J57" s="49">
        <v>0</v>
      </c>
      <c r="K57" s="49">
        <v>0</v>
      </c>
      <c r="L57" s="49">
        <v>0</v>
      </c>
      <c r="M57" s="39">
        <f t="shared" si="2"/>
        <v>1</v>
      </c>
      <c r="O57" s="48">
        <f t="shared" si="4"/>
        <v>3</v>
      </c>
      <c r="P57" s="39">
        <f t="shared" si="5"/>
        <v>300</v>
      </c>
      <c r="Q57" s="39">
        <f t="shared" si="5"/>
        <v>250</v>
      </c>
      <c r="R57" s="39">
        <f t="shared" si="5"/>
        <v>285</v>
      </c>
      <c r="S57" s="39">
        <f t="shared" si="5"/>
        <v>887</v>
      </c>
    </row>
    <row r="58" spans="1:19" x14ac:dyDescent="0.25">
      <c r="G58" s="29" t="str">
        <f t="shared" si="1"/>
        <v>Kaitlin</v>
      </c>
      <c r="H58" s="49">
        <v>0</v>
      </c>
      <c r="I58" s="49">
        <v>0</v>
      </c>
      <c r="J58" s="49">
        <v>0</v>
      </c>
      <c r="K58" s="49">
        <v>0</v>
      </c>
      <c r="L58" s="49">
        <v>1</v>
      </c>
      <c r="M58" s="39">
        <f t="shared" si="2"/>
        <v>1</v>
      </c>
      <c r="O58" s="48">
        <f t="shared" si="4"/>
        <v>4</v>
      </c>
      <c r="P58" s="39">
        <f t="shared" si="5"/>
        <v>300</v>
      </c>
      <c r="Q58" s="39">
        <f t="shared" si="5"/>
        <v>250</v>
      </c>
      <c r="R58" s="39">
        <f t="shared" si="5"/>
        <v>285</v>
      </c>
      <c r="S58" s="39">
        <f t="shared" si="5"/>
        <v>887</v>
      </c>
    </row>
    <row r="59" spans="1:19" x14ac:dyDescent="0.25">
      <c r="G59" s="29" t="str">
        <f t="shared" si="1"/>
        <v>Katalin</v>
      </c>
      <c r="H59" s="49">
        <v>0</v>
      </c>
      <c r="I59" s="49">
        <v>0</v>
      </c>
      <c r="J59" s="49">
        <v>0</v>
      </c>
      <c r="K59" s="49">
        <v>0</v>
      </c>
      <c r="L59" s="49">
        <v>1</v>
      </c>
      <c r="M59" s="39">
        <f t="shared" si="2"/>
        <v>1</v>
      </c>
      <c r="O59" s="48">
        <f t="shared" si="4"/>
        <v>5</v>
      </c>
      <c r="P59" s="39">
        <f t="shared" si="5"/>
        <v>300</v>
      </c>
      <c r="Q59" s="39">
        <f t="shared" si="5"/>
        <v>250</v>
      </c>
      <c r="R59" s="39">
        <f t="shared" si="5"/>
        <v>285</v>
      </c>
      <c r="S59" s="39">
        <f>E$47</f>
        <v>887</v>
      </c>
    </row>
    <row r="60" spans="1:19" x14ac:dyDescent="0.25">
      <c r="G60" s="29" t="str">
        <f t="shared" si="1"/>
        <v>Lorain</v>
      </c>
      <c r="H60" s="49">
        <v>0</v>
      </c>
      <c r="I60" s="49">
        <v>1</v>
      </c>
      <c r="J60" s="49">
        <v>0</v>
      </c>
      <c r="K60" s="49">
        <v>0</v>
      </c>
      <c r="L60" s="49">
        <v>0</v>
      </c>
      <c r="M60" s="39">
        <f t="shared" si="2"/>
        <v>1</v>
      </c>
      <c r="O60" s="48"/>
    </row>
    <row r="61" spans="1:19" ht="15.75" x14ac:dyDescent="0.25">
      <c r="G61" s="29" t="str">
        <f t="shared" si="1"/>
        <v>Lucine</v>
      </c>
      <c r="H61" s="49">
        <v>0</v>
      </c>
      <c r="I61" s="49">
        <v>0</v>
      </c>
      <c r="J61" s="49">
        <v>0</v>
      </c>
      <c r="K61" s="49">
        <v>1</v>
      </c>
      <c r="L61" s="49">
        <v>0</v>
      </c>
      <c r="M61" s="39">
        <f t="shared" si="2"/>
        <v>1</v>
      </c>
      <c r="O61" s="57" t="s">
        <v>19</v>
      </c>
      <c r="P61" s="56" t="s">
        <v>18</v>
      </c>
      <c r="Q61" s="33"/>
      <c r="R61" s="33"/>
      <c r="S61" s="33"/>
    </row>
    <row r="62" spans="1:19" x14ac:dyDescent="0.25">
      <c r="G62" s="29" t="str">
        <f t="shared" si="1"/>
        <v>Mari</v>
      </c>
      <c r="H62" s="53">
        <v>1</v>
      </c>
      <c r="I62" s="49">
        <v>0</v>
      </c>
      <c r="J62" s="49">
        <v>0</v>
      </c>
      <c r="K62" s="49">
        <v>0</v>
      </c>
      <c r="L62" s="49">
        <v>0</v>
      </c>
      <c r="M62" s="39">
        <f t="shared" si="2"/>
        <v>1</v>
      </c>
      <c r="O62" s="52" t="str">
        <f t="shared" ref="O62:O67" si="6">O46</f>
        <v>Team</v>
      </c>
      <c r="P62" s="47" t="str">
        <f>B6</f>
        <v>Experience</v>
      </c>
      <c r="Q62" s="47" t="str">
        <f>C6</f>
        <v>Qualifications</v>
      </c>
      <c r="R62" s="47" t="str">
        <f>D6</f>
        <v>Tenure</v>
      </c>
      <c r="S62" s="47" t="str">
        <f>E6</f>
        <v>Overall</v>
      </c>
    </row>
    <row r="63" spans="1:19" x14ac:dyDescent="0.25">
      <c r="G63" s="29" t="str">
        <f t="shared" si="1"/>
        <v>Marilin</v>
      </c>
      <c r="H63" s="49">
        <v>0</v>
      </c>
      <c r="I63" s="49">
        <v>1</v>
      </c>
      <c r="J63" s="49">
        <v>0</v>
      </c>
      <c r="K63" s="49">
        <v>0</v>
      </c>
      <c r="L63" s="49">
        <v>0</v>
      </c>
      <c r="M63" s="39">
        <f t="shared" si="2"/>
        <v>1</v>
      </c>
      <c r="O63" s="48">
        <f t="shared" si="6"/>
        <v>1</v>
      </c>
      <c r="P63" s="39">
        <f t="shared" ref="P63:S67" si="7">B$48</f>
        <v>319</v>
      </c>
      <c r="Q63" s="39">
        <f t="shared" si="7"/>
        <v>290</v>
      </c>
      <c r="R63" s="39">
        <f t="shared" si="7"/>
        <v>330</v>
      </c>
      <c r="S63" s="39">
        <f t="shared" si="7"/>
        <v>896</v>
      </c>
    </row>
    <row r="64" spans="1:19" x14ac:dyDescent="0.25">
      <c r="G64" s="29" t="str">
        <f t="shared" si="1"/>
        <v>Maurise</v>
      </c>
      <c r="H64" s="49">
        <v>0</v>
      </c>
      <c r="I64" s="49">
        <v>1</v>
      </c>
      <c r="J64" s="49">
        <v>0</v>
      </c>
      <c r="K64" s="49">
        <v>0</v>
      </c>
      <c r="L64" s="49">
        <v>0</v>
      </c>
      <c r="M64" s="39">
        <f t="shared" si="2"/>
        <v>1</v>
      </c>
      <c r="O64" s="48">
        <f t="shared" si="6"/>
        <v>2</v>
      </c>
      <c r="P64" s="39">
        <f t="shared" si="7"/>
        <v>319</v>
      </c>
      <c r="Q64" s="39">
        <f t="shared" si="7"/>
        <v>290</v>
      </c>
      <c r="R64" s="39">
        <f t="shared" si="7"/>
        <v>330</v>
      </c>
      <c r="S64" s="39">
        <f t="shared" si="7"/>
        <v>896</v>
      </c>
    </row>
    <row r="65" spans="1:19" x14ac:dyDescent="0.25">
      <c r="G65" s="29" t="str">
        <f t="shared" si="1"/>
        <v>Mella</v>
      </c>
      <c r="H65" s="49">
        <v>0</v>
      </c>
      <c r="I65" s="49">
        <v>0</v>
      </c>
      <c r="J65" s="49">
        <v>1</v>
      </c>
      <c r="K65" s="49">
        <v>0</v>
      </c>
      <c r="L65" s="49">
        <v>0</v>
      </c>
      <c r="M65" s="39">
        <f t="shared" si="2"/>
        <v>1</v>
      </c>
      <c r="O65" s="48">
        <f t="shared" si="6"/>
        <v>3</v>
      </c>
      <c r="P65" s="39">
        <f t="shared" si="7"/>
        <v>319</v>
      </c>
      <c r="Q65" s="39">
        <f t="shared" si="7"/>
        <v>290</v>
      </c>
      <c r="R65" s="39">
        <f t="shared" si="7"/>
        <v>330</v>
      </c>
      <c r="S65" s="39">
        <f t="shared" si="7"/>
        <v>896</v>
      </c>
    </row>
    <row r="66" spans="1:19" x14ac:dyDescent="0.25">
      <c r="G66" s="29" t="str">
        <f t="shared" si="1"/>
        <v>Nessa</v>
      </c>
      <c r="H66" s="49">
        <v>0</v>
      </c>
      <c r="I66" s="49">
        <v>0</v>
      </c>
      <c r="J66" s="49">
        <v>0</v>
      </c>
      <c r="K66" s="49">
        <v>0</v>
      </c>
      <c r="L66" s="49">
        <v>1</v>
      </c>
      <c r="M66" s="39">
        <f t="shared" si="2"/>
        <v>1</v>
      </c>
      <c r="O66" s="48">
        <f t="shared" si="6"/>
        <v>4</v>
      </c>
      <c r="P66" s="39">
        <f t="shared" si="7"/>
        <v>319</v>
      </c>
      <c r="Q66" s="39">
        <f t="shared" si="7"/>
        <v>290</v>
      </c>
      <c r="R66" s="39">
        <f t="shared" si="7"/>
        <v>330</v>
      </c>
      <c r="S66" s="39">
        <f t="shared" si="7"/>
        <v>896</v>
      </c>
    </row>
    <row r="67" spans="1:19" x14ac:dyDescent="0.25">
      <c r="G67" s="29" t="str">
        <f t="shared" si="1"/>
        <v>Rosaleen</v>
      </c>
      <c r="H67" s="49">
        <v>0</v>
      </c>
      <c r="I67" s="49">
        <v>0</v>
      </c>
      <c r="J67" s="49">
        <v>0</v>
      </c>
      <c r="K67" s="49">
        <v>1</v>
      </c>
      <c r="L67" s="49">
        <v>0</v>
      </c>
      <c r="M67" s="39">
        <f t="shared" si="2"/>
        <v>1</v>
      </c>
      <c r="O67" s="48">
        <f t="shared" si="6"/>
        <v>5</v>
      </c>
      <c r="P67" s="39">
        <f t="shared" si="7"/>
        <v>319</v>
      </c>
      <c r="Q67" s="39">
        <f t="shared" si="7"/>
        <v>290</v>
      </c>
      <c r="R67" s="39">
        <f t="shared" si="7"/>
        <v>330</v>
      </c>
      <c r="S67" s="39">
        <f t="shared" si="7"/>
        <v>896</v>
      </c>
    </row>
    <row r="68" spans="1:19" x14ac:dyDescent="0.25">
      <c r="G68" s="29" t="str">
        <f t="shared" si="1"/>
        <v>Smith</v>
      </c>
      <c r="H68" s="49">
        <v>0</v>
      </c>
      <c r="I68" s="49">
        <v>0</v>
      </c>
      <c r="J68" s="49">
        <v>0</v>
      </c>
      <c r="K68" s="49">
        <v>1</v>
      </c>
      <c r="L68" s="49">
        <v>0</v>
      </c>
      <c r="M68" s="39">
        <f t="shared" si="2"/>
        <v>1</v>
      </c>
    </row>
    <row r="69" spans="1:19" x14ac:dyDescent="0.25">
      <c r="G69" s="29" t="str">
        <f t="shared" si="1"/>
        <v>Stearne</v>
      </c>
      <c r="H69" s="49">
        <v>0</v>
      </c>
      <c r="I69" s="49">
        <v>0</v>
      </c>
      <c r="J69" s="49">
        <v>0</v>
      </c>
      <c r="K69" s="49">
        <v>1</v>
      </c>
      <c r="L69" s="49">
        <v>0</v>
      </c>
      <c r="M69" s="39">
        <f t="shared" si="2"/>
        <v>1</v>
      </c>
    </row>
    <row r="70" spans="1:19" x14ac:dyDescent="0.25">
      <c r="G70" s="29" t="str">
        <f t="shared" si="1"/>
        <v>Tab</v>
      </c>
      <c r="H70" s="49">
        <v>0</v>
      </c>
      <c r="I70" s="49">
        <v>0</v>
      </c>
      <c r="J70" s="49">
        <v>1</v>
      </c>
      <c r="K70" s="49">
        <v>0</v>
      </c>
      <c r="L70" s="49">
        <v>0</v>
      </c>
      <c r="M70" s="39">
        <f t="shared" si="2"/>
        <v>1</v>
      </c>
    </row>
    <row r="71" spans="1:19" x14ac:dyDescent="0.25">
      <c r="G71" s="29" t="str">
        <f t="shared" si="1"/>
        <v>Vevay</v>
      </c>
      <c r="H71" s="49">
        <v>1</v>
      </c>
      <c r="I71" s="49">
        <v>0</v>
      </c>
      <c r="J71" s="49">
        <v>0</v>
      </c>
      <c r="K71" s="49">
        <v>0</v>
      </c>
      <c r="L71" s="49">
        <v>0</v>
      </c>
      <c r="M71" s="39">
        <f t="shared" si="2"/>
        <v>1</v>
      </c>
    </row>
    <row r="72" spans="1:19" x14ac:dyDescent="0.25">
      <c r="G72" s="29" t="str">
        <f t="shared" si="1"/>
        <v>Vittoria</v>
      </c>
      <c r="H72" s="49">
        <v>1</v>
      </c>
      <c r="I72" s="49">
        <v>0</v>
      </c>
      <c r="J72" s="49">
        <v>0</v>
      </c>
      <c r="K72" s="49">
        <v>0</v>
      </c>
      <c r="L72" s="49">
        <v>0</v>
      </c>
      <c r="M72" s="39">
        <f t="shared" si="2"/>
        <v>1</v>
      </c>
    </row>
    <row r="73" spans="1:19" x14ac:dyDescent="0.25">
      <c r="G73" s="29" t="str">
        <f t="shared" si="1"/>
        <v>Washington</v>
      </c>
      <c r="H73" s="49">
        <v>0</v>
      </c>
      <c r="I73" s="49">
        <v>0</v>
      </c>
      <c r="J73" s="49">
        <v>1</v>
      </c>
      <c r="K73" s="49">
        <v>0</v>
      </c>
      <c r="L73" s="49">
        <v>0</v>
      </c>
      <c r="M73" s="39">
        <f t="shared" si="2"/>
        <v>1</v>
      </c>
    </row>
    <row r="74" spans="1:19" x14ac:dyDescent="0.25">
      <c r="G74" s="29" t="str">
        <f t="shared" si="1"/>
        <v>Wenona</v>
      </c>
      <c r="H74" s="49">
        <v>0</v>
      </c>
      <c r="I74" s="49">
        <v>0</v>
      </c>
      <c r="J74" s="49">
        <v>1</v>
      </c>
      <c r="K74" s="49">
        <v>0</v>
      </c>
      <c r="L74" s="49">
        <v>0</v>
      </c>
      <c r="M74" s="39">
        <f t="shared" si="2"/>
        <v>1</v>
      </c>
    </row>
    <row r="75" spans="1:19" x14ac:dyDescent="0.25">
      <c r="G75" s="29" t="str">
        <f t="shared" si="1"/>
        <v>Wes</v>
      </c>
      <c r="H75" s="49">
        <v>1</v>
      </c>
      <c r="I75" s="49">
        <v>0</v>
      </c>
      <c r="J75" s="49">
        <v>0</v>
      </c>
      <c r="K75" s="49">
        <v>0</v>
      </c>
      <c r="L75" s="49">
        <v>0</v>
      </c>
      <c r="M75" s="39">
        <f t="shared" si="2"/>
        <v>1</v>
      </c>
    </row>
    <row r="76" spans="1:19" x14ac:dyDescent="0.25">
      <c r="G76" s="29" t="str">
        <f t="shared" si="1"/>
        <v>Zebadiah</v>
      </c>
      <c r="H76" s="49">
        <v>0</v>
      </c>
      <c r="I76" s="49">
        <v>0</v>
      </c>
      <c r="J76" s="49">
        <v>1</v>
      </c>
      <c r="K76" s="49">
        <v>0</v>
      </c>
      <c r="L76" s="49">
        <v>0</v>
      </c>
      <c r="M76" s="39">
        <f t="shared" si="2"/>
        <v>1</v>
      </c>
    </row>
    <row r="77" spans="1:19" x14ac:dyDescent="0.25">
      <c r="G77" s="54" t="str">
        <f t="shared" si="1"/>
        <v>Total</v>
      </c>
      <c r="H77" s="51">
        <f t="shared" ref="H77:M77" si="8">SUM(H47:H76)</f>
        <v>6</v>
      </c>
      <c r="I77" s="51">
        <f t="shared" si="8"/>
        <v>6</v>
      </c>
      <c r="J77" s="51">
        <f t="shared" si="8"/>
        <v>6</v>
      </c>
      <c r="K77" s="51">
        <f t="shared" si="8"/>
        <v>6</v>
      </c>
      <c r="L77" s="51">
        <f t="shared" si="8"/>
        <v>6</v>
      </c>
      <c r="M77" s="51">
        <f t="shared" si="8"/>
        <v>30</v>
      </c>
    </row>
    <row r="78" spans="1:19" x14ac:dyDescent="0.25">
      <c r="A78" s="48"/>
    </row>
    <row r="81" s="29" customFormat="1" hidden="1" x14ac:dyDescent="0.25"/>
    <row r="82" s="29" customFormat="1" hidden="1" x14ac:dyDescent="0.25"/>
    <row r="83" s="29" customFormat="1" hidden="1" x14ac:dyDescent="0.25"/>
    <row r="84" s="29" customFormat="1" hidden="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10933-EC80-4274-9509-B30F2956C5A0}">
  <sheetPr codeName="Sheet3">
    <pageSetUpPr fitToPage="1"/>
  </sheetPr>
  <dimension ref="A1:AG82"/>
  <sheetViews>
    <sheetView showGridLines="0" zoomScaleNormal="100" workbookViewId="0">
      <selection activeCell="A2" sqref="A2"/>
    </sheetView>
  </sheetViews>
  <sheetFormatPr defaultColWidth="0" defaultRowHeight="15" zeroHeight="1" x14ac:dyDescent="0.25"/>
  <cols>
    <col min="1" max="1" width="9.375" customWidth="1"/>
    <col min="2" max="12" width="8" customWidth="1"/>
    <col min="13" max="13" width="14.5" customWidth="1"/>
    <col min="14" max="14" width="10.5" bestFit="1" customWidth="1"/>
    <col min="15" max="22" width="8" customWidth="1"/>
    <col min="23" max="23" width="2.5" customWidth="1"/>
    <col min="24" max="33" width="0" hidden="1" customWidth="1"/>
    <col min="34" max="16384" width="8" hidden="1"/>
  </cols>
  <sheetData>
    <row r="1" spans="1:22" ht="21" x14ac:dyDescent="0.35">
      <c r="A1" s="7" t="s">
        <v>0</v>
      </c>
    </row>
    <row r="2" spans="1:22" x14ac:dyDescent="0.25"/>
    <row r="3" spans="1:22" ht="17.25" x14ac:dyDescent="0.3">
      <c r="A3" s="6" t="s">
        <v>9</v>
      </c>
      <c r="B3" s="6"/>
      <c r="C3" s="6"/>
      <c r="D3" s="6"/>
      <c r="E3" s="6"/>
      <c r="F3" s="6"/>
      <c r="G3" s="6"/>
      <c r="H3" s="6"/>
      <c r="I3" s="6"/>
      <c r="J3" s="6"/>
      <c r="K3" s="6"/>
      <c r="L3" s="6"/>
      <c r="M3" s="6"/>
      <c r="N3" s="6"/>
      <c r="O3" s="6"/>
      <c r="P3" s="6"/>
      <c r="Q3" s="6"/>
      <c r="R3" s="6"/>
      <c r="S3" s="6"/>
      <c r="T3" s="6"/>
      <c r="U3" s="6"/>
      <c r="V3" s="6"/>
    </row>
    <row r="4" spans="1:22" x14ac:dyDescent="0.25"/>
    <row r="5" spans="1:22" x14ac:dyDescent="0.25"/>
    <row r="6" spans="1:22" x14ac:dyDescent="0.25"/>
    <row r="7" spans="1:22" x14ac:dyDescent="0.25"/>
    <row r="8" spans="1:22" ht="17.25" x14ac:dyDescent="0.3">
      <c r="A8" s="6" t="s">
        <v>74</v>
      </c>
      <c r="B8" s="6"/>
      <c r="C8" s="6"/>
      <c r="D8" s="6"/>
      <c r="E8" s="6"/>
      <c r="F8" s="6"/>
      <c r="G8" s="6"/>
      <c r="H8" s="6"/>
      <c r="I8" s="6"/>
      <c r="J8" s="6"/>
      <c r="K8" s="6"/>
      <c r="N8" s="23"/>
      <c r="O8" s="24"/>
      <c r="P8" s="25"/>
      <c r="Q8" s="26"/>
      <c r="R8" s="27"/>
      <c r="S8" s="28"/>
    </row>
    <row r="9" spans="1:22" x14ac:dyDescent="0.25">
      <c r="N9" s="23"/>
      <c r="O9" s="24"/>
      <c r="P9" s="25"/>
      <c r="Q9" s="26"/>
      <c r="R9" s="27"/>
      <c r="S9" s="28"/>
    </row>
    <row r="10" spans="1:22" x14ac:dyDescent="0.25">
      <c r="N10" s="23"/>
      <c r="O10" s="24"/>
      <c r="P10" s="25"/>
      <c r="Q10" s="26"/>
      <c r="R10" s="27"/>
      <c r="S10" s="28"/>
    </row>
    <row r="11" spans="1:22" x14ac:dyDescent="0.25">
      <c r="N11" s="23"/>
      <c r="O11" s="24"/>
      <c r="P11" s="25"/>
      <c r="Q11" s="26"/>
      <c r="R11" s="27"/>
      <c r="S11" s="28"/>
    </row>
    <row r="12" spans="1:22" x14ac:dyDescent="0.25">
      <c r="N12" s="23"/>
      <c r="O12" s="24"/>
      <c r="P12" s="25"/>
      <c r="Q12" s="26"/>
      <c r="R12" s="27"/>
      <c r="S12" s="28"/>
    </row>
    <row r="13" spans="1:22" x14ac:dyDescent="0.25">
      <c r="B13" s="20"/>
      <c r="C13" s="22"/>
      <c r="E13" s="17"/>
      <c r="N13" s="23"/>
      <c r="O13" s="24"/>
      <c r="P13" s="25"/>
      <c r="Q13" s="26"/>
      <c r="R13" s="27"/>
      <c r="S13" s="28"/>
    </row>
    <row r="14" spans="1:22" x14ac:dyDescent="0.25">
      <c r="B14" s="20"/>
      <c r="C14" s="22"/>
      <c r="E14" s="17"/>
      <c r="N14" s="23"/>
      <c r="O14" s="24"/>
      <c r="P14" s="25"/>
      <c r="Q14" s="26"/>
      <c r="R14" s="27"/>
      <c r="S14" s="28"/>
    </row>
    <row r="15" spans="1:22" x14ac:dyDescent="0.25">
      <c r="B15" s="20"/>
      <c r="C15" s="22"/>
      <c r="E15" s="17"/>
      <c r="N15" s="23"/>
      <c r="O15" s="24"/>
      <c r="P15" s="25"/>
      <c r="Q15" s="26"/>
      <c r="R15" s="27"/>
      <c r="S15" s="28"/>
    </row>
    <row r="16" spans="1:22" x14ac:dyDescent="0.25">
      <c r="B16" s="20"/>
      <c r="C16" s="22"/>
      <c r="E16" s="17"/>
      <c r="G16" s="19"/>
      <c r="N16" s="23"/>
      <c r="O16" s="24"/>
      <c r="P16" s="25"/>
      <c r="Q16" s="26"/>
      <c r="R16" s="27"/>
      <c r="S16" s="28"/>
    </row>
    <row r="17" spans="2:19" x14ac:dyDescent="0.25">
      <c r="B17" s="20"/>
      <c r="C17" s="22"/>
      <c r="E17" s="17"/>
      <c r="G17" s="19"/>
      <c r="N17" s="23"/>
      <c r="O17" s="24"/>
      <c r="P17" s="25"/>
      <c r="Q17" s="26"/>
      <c r="R17" s="27"/>
      <c r="S17" s="28"/>
    </row>
    <row r="18" spans="2:19" x14ac:dyDescent="0.25">
      <c r="B18" s="20"/>
      <c r="C18" s="22"/>
      <c r="E18" s="17"/>
      <c r="G18" s="19"/>
      <c r="N18" s="23"/>
      <c r="O18" s="24"/>
      <c r="P18" s="25"/>
      <c r="Q18" s="26"/>
      <c r="R18" s="27"/>
      <c r="S18" s="28"/>
    </row>
    <row r="19" spans="2:19" x14ac:dyDescent="0.25">
      <c r="B19" s="20"/>
      <c r="C19" s="22"/>
      <c r="E19" s="17"/>
      <c r="G19" s="19"/>
      <c r="N19" s="23"/>
      <c r="O19" s="24"/>
      <c r="P19" s="25"/>
      <c r="Q19" s="26"/>
      <c r="R19" s="27"/>
      <c r="S19" s="28"/>
    </row>
    <row r="20" spans="2:19" x14ac:dyDescent="0.25">
      <c r="N20" s="23"/>
      <c r="O20" s="24"/>
      <c r="P20" s="25"/>
      <c r="Q20" s="26"/>
      <c r="R20" s="27"/>
      <c r="S20" s="28"/>
    </row>
    <row r="21" spans="2:19" x14ac:dyDescent="0.25">
      <c r="N21" s="23"/>
      <c r="O21" s="24"/>
      <c r="P21" s="25"/>
      <c r="Q21" s="26"/>
      <c r="R21" s="27"/>
      <c r="S21" s="28"/>
    </row>
    <row r="22" spans="2:19" x14ac:dyDescent="0.25">
      <c r="N22" s="23"/>
      <c r="O22" s="24"/>
      <c r="P22" s="25"/>
      <c r="Q22" s="26"/>
      <c r="R22" s="27"/>
      <c r="S22" s="28"/>
    </row>
    <row r="23" spans="2:19" x14ac:dyDescent="0.25"/>
    <row r="24" spans="2:19" x14ac:dyDescent="0.25"/>
    <row r="25" spans="2:19" x14ac:dyDescent="0.25"/>
    <row r="26" spans="2:19" x14ac:dyDescent="0.25"/>
    <row r="27" spans="2:19" x14ac:dyDescent="0.25">
      <c r="N27" s="18"/>
      <c r="O27" s="18"/>
      <c r="P27" s="18"/>
    </row>
    <row r="28" spans="2:19" x14ac:dyDescent="0.25">
      <c r="N28" s="18"/>
      <c r="O28" s="18"/>
      <c r="P28" s="18"/>
    </row>
    <row r="29" spans="2:19" x14ac:dyDescent="0.25"/>
    <row r="30" spans="2:19" x14ac:dyDescent="0.25"/>
    <row r="31" spans="2:19" x14ac:dyDescent="0.25"/>
    <row r="32" spans="2:19"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sheetData>
  <phoneticPr fontId="18" type="noConversion"/>
  <pageMargins left="0.59055118110236227" right="0.59055118110236227" top="0.59055118110236227" bottom="0.59055118110236227" header="0.31496062992125984" footer="0.31496062992125984"/>
  <pageSetup paperSize="9" scale="71" fitToHeight="0" orientation="landscape" horizontalDpi="0" verticalDpi="0" r:id="rId1"/>
  <headerFooter>
    <oddFooter>&amp;LFile: &amp;F, Worksheet: &amp;A&amp;CPage &amp;P of &amp;N&amp;RCopyright www.solvermax.com</oddFooter>
  </headerFooter>
  <rowBreaks count="1" manualBreakCount="1">
    <brk id="38"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1CB9B-8873-46F5-A3F9-6C176FADD509}">
  <sheetPr codeName="Sheet4"/>
  <dimension ref="A1:Q30"/>
  <sheetViews>
    <sheetView showGridLines="0" workbookViewId="0">
      <selection activeCell="A2" sqref="A2"/>
    </sheetView>
  </sheetViews>
  <sheetFormatPr defaultColWidth="0" defaultRowHeight="15" zeroHeight="1" x14ac:dyDescent="0.25"/>
  <cols>
    <col min="1" max="2" width="12.5" style="11" customWidth="1"/>
    <col min="3" max="3" width="3.75" style="11" customWidth="1"/>
    <col min="4" max="16" width="7.5" style="11" customWidth="1"/>
    <col min="17" max="17" width="2.5" style="11" customWidth="1"/>
    <col min="18" max="16384" width="9" style="11" hidden="1"/>
  </cols>
  <sheetData>
    <row r="1" spans="1:16" ht="21" x14ac:dyDescent="0.35">
      <c r="A1" s="7" t="s">
        <v>11</v>
      </c>
    </row>
    <row r="2" spans="1:16" x14ac:dyDescent="0.25"/>
    <row r="3" spans="1:16" ht="17.25" x14ac:dyDescent="0.3">
      <c r="A3" s="6" t="s">
        <v>12</v>
      </c>
      <c r="B3" s="6"/>
      <c r="D3" s="6" t="s">
        <v>15</v>
      </c>
      <c r="E3" s="13"/>
      <c r="F3" s="13"/>
      <c r="G3" s="13"/>
      <c r="H3" s="13"/>
      <c r="I3" s="13"/>
      <c r="J3" s="13"/>
      <c r="K3" s="13"/>
      <c r="L3" s="13"/>
      <c r="M3" s="13"/>
      <c r="N3" s="13"/>
      <c r="O3" s="13"/>
      <c r="P3" s="13"/>
    </row>
    <row r="4" spans="1:16" ht="15.75" x14ac:dyDescent="0.25">
      <c r="A4" s="12" t="s">
        <v>14</v>
      </c>
      <c r="D4" s="14"/>
      <c r="E4" s="14"/>
      <c r="F4" s="14"/>
      <c r="G4" s="14"/>
      <c r="H4" s="14"/>
      <c r="I4" s="14"/>
      <c r="J4" s="14"/>
      <c r="K4" s="14"/>
      <c r="L4" s="14"/>
      <c r="M4" s="14"/>
      <c r="N4" s="14"/>
      <c r="O4" s="14"/>
      <c r="P4" s="14"/>
    </row>
    <row r="5" spans="1:16" x14ac:dyDescent="0.25">
      <c r="A5" s="2" t="b">
        <v>1</v>
      </c>
      <c r="B5"/>
      <c r="D5" s="14"/>
      <c r="E5" s="14"/>
      <c r="F5" s="14"/>
      <c r="G5" s="14"/>
      <c r="H5" s="14"/>
      <c r="I5" s="14"/>
      <c r="J5" s="14"/>
      <c r="K5" s="14"/>
      <c r="L5" s="14"/>
      <c r="M5" s="14"/>
      <c r="N5" s="14"/>
      <c r="O5" s="14"/>
      <c r="P5" s="14"/>
    </row>
    <row r="6" spans="1:16" x14ac:dyDescent="0.25">
      <c r="A6" s="2" t="b">
        <v>0</v>
      </c>
      <c r="B6"/>
      <c r="D6" s="14"/>
      <c r="E6" s="14"/>
      <c r="F6" s="14"/>
      <c r="G6" s="14"/>
      <c r="H6" s="14"/>
      <c r="I6" s="14"/>
      <c r="J6" s="14"/>
      <c r="K6" s="14"/>
      <c r="L6" s="14"/>
      <c r="M6" s="14"/>
      <c r="N6" s="14"/>
      <c r="O6" s="14"/>
      <c r="P6" s="14"/>
    </row>
    <row r="7" spans="1:16" x14ac:dyDescent="0.25">
      <c r="D7" s="14"/>
      <c r="E7" s="14"/>
      <c r="F7" s="14"/>
      <c r="G7" s="14"/>
      <c r="H7" s="14"/>
      <c r="I7" s="14"/>
      <c r="J7" s="14"/>
      <c r="K7" s="14"/>
      <c r="L7" s="14"/>
      <c r="M7" s="14"/>
      <c r="N7" s="14"/>
      <c r="O7" s="14"/>
      <c r="P7" s="14"/>
    </row>
    <row r="8" spans="1:16" ht="17.25" x14ac:dyDescent="0.3">
      <c r="A8" s="6" t="s">
        <v>13</v>
      </c>
      <c r="B8" s="6"/>
      <c r="D8" s="14"/>
      <c r="E8" s="14"/>
      <c r="F8" s="14"/>
      <c r="G8" s="14"/>
      <c r="H8" s="14"/>
      <c r="I8" s="14"/>
      <c r="J8" s="14"/>
      <c r="K8" s="14"/>
      <c r="L8" s="14"/>
      <c r="M8" s="14"/>
      <c r="N8" s="14"/>
      <c r="O8" s="14"/>
      <c r="P8" s="14"/>
    </row>
    <row r="9" spans="1:16" x14ac:dyDescent="0.25">
      <c r="A9"/>
      <c r="B9"/>
      <c r="D9" s="14"/>
      <c r="E9" s="14"/>
      <c r="F9" s="14"/>
      <c r="G9" s="14"/>
      <c r="H9" s="14"/>
      <c r="I9" s="14"/>
      <c r="J9" s="14"/>
      <c r="K9" s="14"/>
      <c r="L9" s="14"/>
      <c r="M9" s="14"/>
      <c r="N9" s="14"/>
      <c r="O9" s="14"/>
      <c r="P9" s="14"/>
    </row>
    <row r="10" spans="1:16" x14ac:dyDescent="0.25">
      <c r="A10"/>
      <c r="B10"/>
      <c r="D10" s="14"/>
      <c r="E10" s="14"/>
      <c r="F10" s="14"/>
      <c r="G10" s="14"/>
      <c r="H10" s="14"/>
      <c r="I10" s="14"/>
      <c r="J10" s="14"/>
      <c r="K10" s="14"/>
      <c r="L10" s="14"/>
      <c r="M10" s="14"/>
      <c r="N10" s="14"/>
      <c r="O10" s="14"/>
      <c r="P10" s="14"/>
    </row>
    <row r="11" spans="1:16" x14ac:dyDescent="0.25">
      <c r="A11"/>
      <c r="B11"/>
      <c r="D11" s="14"/>
      <c r="E11" s="14"/>
      <c r="F11" s="14"/>
      <c r="G11" s="14"/>
      <c r="H11" s="14"/>
      <c r="I11" s="14"/>
      <c r="J11" s="14"/>
      <c r="K11" s="14"/>
      <c r="L11" s="14"/>
      <c r="M11" s="14"/>
      <c r="N11" s="14"/>
      <c r="O11" s="14"/>
      <c r="P11" s="14"/>
    </row>
    <row r="12" spans="1:16" x14ac:dyDescent="0.25">
      <c r="A12"/>
      <c r="B12"/>
    </row>
    <row r="13" spans="1:16" x14ac:dyDescent="0.25">
      <c r="A13"/>
      <c r="B13"/>
    </row>
    <row r="14" spans="1:16" x14ac:dyDescent="0.25">
      <c r="A14"/>
      <c r="B14"/>
    </row>
    <row r="15" spans="1:16" x14ac:dyDescent="0.25">
      <c r="A15"/>
      <c r="B15"/>
    </row>
    <row r="16" spans="1:16" x14ac:dyDescent="0.25">
      <c r="A16"/>
      <c r="B16"/>
    </row>
    <row r="17" spans="1:2" x14ac:dyDescent="0.25">
      <c r="A17"/>
      <c r="B17"/>
    </row>
    <row r="18" spans="1:2" x14ac:dyDescent="0.25">
      <c r="A18"/>
      <c r="B18"/>
    </row>
    <row r="19" spans="1:2" x14ac:dyDescent="0.25">
      <c r="A19"/>
      <c r="B19"/>
    </row>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sheetData>
  <pageMargins left="0.59055118110236227" right="0.59055118110236227" top="0.59055118110236227" bottom="0.59055118110236227" header="0.31496062992125984" footer="0.31496062992125984"/>
  <pageSetup paperSize="9" orientation="landscape" horizontalDpi="0" verticalDpi="0" r:id="rId1"/>
  <headerFooter>
    <oddFooter>&amp;LFile: &amp;F, Worksheet: &amp;A&amp;CPage &amp;P of &amp;N&amp;RCopyright www.solvermax.com</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About</vt:lpstr>
      <vt:lpstr>Model</vt:lpstr>
      <vt:lpstr>Analysis</vt:lpstr>
      <vt:lpstr>Control</vt:lpstr>
      <vt:lpstr>dAttributes</vt:lpstr>
      <vt:lpstr>dPeopleRequired</vt:lpstr>
      <vt:lpstr>Model!fObjective</vt:lpstr>
      <vt:lpstr>fPeoplePerTeam</vt:lpstr>
      <vt:lpstr>fPersonAllocation</vt:lpstr>
      <vt:lpstr>fSkillsLB</vt:lpstr>
      <vt:lpstr>fSkillsPerTeam</vt:lpstr>
      <vt:lpstr>fSkillsUB</vt:lpstr>
      <vt:lpstr>About!Print_Area</vt:lpstr>
      <vt:lpstr>Analysis!Print_Area</vt:lpstr>
      <vt:lpstr>Control!Print_Area</vt:lpstr>
      <vt:lpstr>vAllocation</vt:lpstr>
      <vt:lpstr>vSkillsBounds</vt:lpstr>
      <vt:lpstr>vSkillsLower</vt:lpstr>
      <vt:lpstr>vSkillsUpper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dc:creator>
  <cp:lastModifiedBy>i-nth</cp:lastModifiedBy>
  <cp:lastPrinted>2021-08-20T01:45:33Z</cp:lastPrinted>
  <dcterms:created xsi:type="dcterms:W3CDTF">2020-07-08T19:17:45Z</dcterms:created>
  <dcterms:modified xsi:type="dcterms:W3CDTF">2022-02-19T20:29:36Z</dcterms:modified>
</cp:coreProperties>
</file>