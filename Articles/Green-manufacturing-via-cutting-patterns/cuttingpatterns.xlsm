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83726ec0a80c1546/Documents/Ian/Web/SolverMax/Modelling/Website models/Green manufacturing via cutting patterns/"/>
    </mc:Choice>
  </mc:AlternateContent>
  <xr:revisionPtr revIDLastSave="44" documentId="13_ncr:1_{9B77C8C1-7B79-4A08-9030-D5AFFDC9D945}" xr6:coauthVersionLast="47" xr6:coauthVersionMax="47" xr10:uidLastSave="{BC650230-A584-45AA-8C68-8F3B658BE2A4}"/>
  <bookViews>
    <workbookView xWindow="-120" yWindow="-120" windowWidth="29040" windowHeight="15990" activeTab="1" xr2:uid="{324EC751-9C60-40DD-8432-DBCA825DD949}"/>
  </bookViews>
  <sheets>
    <sheet name="About" sheetId="7" r:id="rId1"/>
    <sheet name="Patterns" sheetId="6" r:id="rId2"/>
  </sheets>
  <externalReferences>
    <externalReference r:id="rId3"/>
  </externalReferences>
  <definedNames>
    <definedName name="_xlnm._FilterDatabase" localSheetId="1" hidden="1">Patterns!$A$21:$J$274</definedName>
    <definedName name="Count">[1]Model!$L$40:$L$565</definedName>
    <definedName name="CumlCombos">Patterns!#REF!</definedName>
    <definedName name="Demand">[1]Model!$B$28:$H$28</definedName>
    <definedName name="dPreferUse">#REF!</definedName>
    <definedName name="fCutsTotal">#REF!</definedName>
    <definedName name="fOffcut">#REF!</definedName>
    <definedName name="fOffcutWaste">#REF!</definedName>
    <definedName name="fUsageMap">#REF!</definedName>
    <definedName name="Lengths">Patterns!$B$16:$H$16</definedName>
    <definedName name="NumCombos">Patterns!$B$5</definedName>
    <definedName name="NumPatterns">[1]Model!$X$29</definedName>
    <definedName name="Pattern">TablePatterns[[#Headers],[Pattern]]</definedName>
    <definedName name="Pieces">Patterns!$B$17:$H$17</definedName>
    <definedName name="_xlnm.Print_Area" localSheetId="0">About!$A$1:$K$25</definedName>
    <definedName name="_xlnm.Print_Area" localSheetId="1">Patterns!$A$1:$X$38</definedName>
    <definedName name="StockLength">Patterns!$B$4</definedName>
    <definedName name="Supply">[1]Model!$R$35:$X$35</definedName>
    <definedName name="UseUB">[1]Model!$O$40:$O$565</definedName>
    <definedName name="vCuts">#REF!</definedName>
    <definedName name="vUseStock">#REF!</definedName>
    <definedName name="Waste">[1]Model!$T$28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 i="6" l="1"/>
  <c r="B10" i="6"/>
  <c r="B15" i="6"/>
  <c r="C15" i="6"/>
  <c r="D15" i="6"/>
  <c r="E15" i="6"/>
  <c r="F15" i="6"/>
  <c r="G15" i="6"/>
  <c r="H15" i="6"/>
  <c r="I16" i="6"/>
  <c r="B17" i="6"/>
  <c r="B18" i="6" s="1"/>
  <c r="C17" i="6"/>
  <c r="C18" i="6" s="1"/>
  <c r="D17" i="6"/>
  <c r="D18" i="6" s="1"/>
  <c r="E17" i="6"/>
  <c r="E18" i="6" s="1"/>
  <c r="F17" i="6"/>
  <c r="F18" i="6" s="1"/>
  <c r="G17" i="6"/>
  <c r="G18" i="6" s="1"/>
  <c r="H17" i="6"/>
  <c r="H18" i="6" s="1"/>
  <c r="B5" i="6" l="1"/>
  <c r="C5" i="6" s="1"/>
</calcChain>
</file>

<file path=xl/sharedStrings.xml><?xml version="1.0" encoding="utf-8"?>
<sst xmlns="http://schemas.openxmlformats.org/spreadsheetml/2006/main" count="295" uniqueCount="292">
  <si>
    <t>Pattern</t>
  </si>
  <si>
    <t>Length</t>
  </si>
  <si>
    <t>Waste</t>
  </si>
  <si>
    <t>A</t>
  </si>
  <si>
    <t>B</t>
  </si>
  <si>
    <t>C</t>
  </si>
  <si>
    <t>D</t>
  </si>
  <si>
    <t>E</t>
  </si>
  <si>
    <t>F</t>
  </si>
  <si>
    <t>G</t>
  </si>
  <si>
    <t>Pieces</t>
  </si>
  <si>
    <t>Stock length</t>
  </si>
  <si>
    <t>Combinations</t>
  </si>
  <si>
    <t>Attribute</t>
  </si>
  <si>
    <t>Patterns</t>
  </si>
  <si>
    <t>Required items</t>
  </si>
  <si>
    <t>Create cutting patterns given stock length and required items</t>
  </si>
  <si>
    <t>mm</t>
  </si>
  <si>
    <t>VBA output Table</t>
  </si>
  <si>
    <t>Of which</t>
  </si>
  <si>
    <t>have waste &lt;=</t>
  </si>
  <si>
    <t>6000-1</t>
  </si>
  <si>
    <t>6000-2</t>
  </si>
  <si>
    <t>6000-3</t>
  </si>
  <si>
    <t>6000-4</t>
  </si>
  <si>
    <t>6000-5</t>
  </si>
  <si>
    <t>6000-6</t>
  </si>
  <si>
    <t>6000-7</t>
  </si>
  <si>
    <t>6000-8</t>
  </si>
  <si>
    <t>6000-9</t>
  </si>
  <si>
    <t>6000-10</t>
  </si>
  <si>
    <t>6000-11</t>
  </si>
  <si>
    <t>6000-12</t>
  </si>
  <si>
    <t>6000-13</t>
  </si>
  <si>
    <t>6000-14</t>
  </si>
  <si>
    <t>6000-15</t>
  </si>
  <si>
    <t>6000-16</t>
  </si>
  <si>
    <t>6000-17</t>
  </si>
  <si>
    <t>6000-18</t>
  </si>
  <si>
    <t>6000-19</t>
  </si>
  <si>
    <t>6000-20</t>
  </si>
  <si>
    <t>6000-21</t>
  </si>
  <si>
    <t>6000-22</t>
  </si>
  <si>
    <t>6000-23</t>
  </si>
  <si>
    <t>6000-24</t>
  </si>
  <si>
    <t>6000-25</t>
  </si>
  <si>
    <t>6000-26</t>
  </si>
  <si>
    <t>6000-27</t>
  </si>
  <si>
    <t>6000-28</t>
  </si>
  <si>
    <t>6000-29</t>
  </si>
  <si>
    <t>6000-30</t>
  </si>
  <si>
    <t>6000-31</t>
  </si>
  <si>
    <t>6000-32</t>
  </si>
  <si>
    <t>6000-33</t>
  </si>
  <si>
    <t>6000-34</t>
  </si>
  <si>
    <t>6000-35</t>
  </si>
  <si>
    <t>6000-36</t>
  </si>
  <si>
    <t>6000-37</t>
  </si>
  <si>
    <t>6000-38</t>
  </si>
  <si>
    <t>6000-39</t>
  </si>
  <si>
    <t>6000-40</t>
  </si>
  <si>
    <t>6000-41</t>
  </si>
  <si>
    <t>6000-42</t>
  </si>
  <si>
    <t>6000-43</t>
  </si>
  <si>
    <t>6000-44</t>
  </si>
  <si>
    <t>6000-45</t>
  </si>
  <si>
    <t>6000-46</t>
  </si>
  <si>
    <t>6000-47</t>
  </si>
  <si>
    <t>6000-48</t>
  </si>
  <si>
    <t>6000-49</t>
  </si>
  <si>
    <t>6000-50</t>
  </si>
  <si>
    <t>6000-51</t>
  </si>
  <si>
    <t>6000-52</t>
  </si>
  <si>
    <t>6000-53</t>
  </si>
  <si>
    <t>6000-54</t>
  </si>
  <si>
    <t>6000-55</t>
  </si>
  <si>
    <t>6000-56</t>
  </si>
  <si>
    <t>6000-57</t>
  </si>
  <si>
    <t>6000-58</t>
  </si>
  <si>
    <t>6000-59</t>
  </si>
  <si>
    <t>6000-60</t>
  </si>
  <si>
    <t>6000-61</t>
  </si>
  <si>
    <t>6000-62</t>
  </si>
  <si>
    <t>6000-63</t>
  </si>
  <si>
    <t>6000-64</t>
  </si>
  <si>
    <t>6000-65</t>
  </si>
  <si>
    <t>6000-66</t>
  </si>
  <si>
    <t>6000-67</t>
  </si>
  <si>
    <t>6000-68</t>
  </si>
  <si>
    <t>6000-69</t>
  </si>
  <si>
    <t>6000-70</t>
  </si>
  <si>
    <t>6000-71</t>
  </si>
  <si>
    <t>6000-72</t>
  </si>
  <si>
    <t>6000-73</t>
  </si>
  <si>
    <t>6000-74</t>
  </si>
  <si>
    <t>6000-75</t>
  </si>
  <si>
    <t>6000-76</t>
  </si>
  <si>
    <t>6000-77</t>
  </si>
  <si>
    <t>6000-78</t>
  </si>
  <si>
    <t>6000-79</t>
  </si>
  <si>
    <t>6000-80</t>
  </si>
  <si>
    <t>6000-81</t>
  </si>
  <si>
    <t>6000-82</t>
  </si>
  <si>
    <t>6000-83</t>
  </si>
  <si>
    <t>6000-84</t>
  </si>
  <si>
    <t>6000-85</t>
  </si>
  <si>
    <t>6000-86</t>
  </si>
  <si>
    <t>6000-87</t>
  </si>
  <si>
    <t>6000-88</t>
  </si>
  <si>
    <t>6000-89</t>
  </si>
  <si>
    <t>6000-90</t>
  </si>
  <si>
    <t>6000-91</t>
  </si>
  <si>
    <t>6000-92</t>
  </si>
  <si>
    <t>6000-93</t>
  </si>
  <si>
    <t>6000-94</t>
  </si>
  <si>
    <t>6000-95</t>
  </si>
  <si>
    <t>6000-96</t>
  </si>
  <si>
    <t>6000-97</t>
  </si>
  <si>
    <t>6000-98</t>
  </si>
  <si>
    <t>6000-99</t>
  </si>
  <si>
    <t>6000-100</t>
  </si>
  <si>
    <t>6000-101</t>
  </si>
  <si>
    <t>6000-102</t>
  </si>
  <si>
    <t>6000-103</t>
  </si>
  <si>
    <t>6000-104</t>
  </si>
  <si>
    <t>6000-105</t>
  </si>
  <si>
    <t>6000-106</t>
  </si>
  <si>
    <t>6000-107</t>
  </si>
  <si>
    <t>6000-108</t>
  </si>
  <si>
    <t>6000-109</t>
  </si>
  <si>
    <t>6000-110</t>
  </si>
  <si>
    <t>6000-111</t>
  </si>
  <si>
    <t>6000-112</t>
  </si>
  <si>
    <t>6000-113</t>
  </si>
  <si>
    <t>6000-114</t>
  </si>
  <si>
    <t>6000-115</t>
  </si>
  <si>
    <t>6000-116</t>
  </si>
  <si>
    <t>6000-117</t>
  </si>
  <si>
    <t>6000-118</t>
  </si>
  <si>
    <t>6000-119</t>
  </si>
  <si>
    <t>6000-120</t>
  </si>
  <si>
    <t>6000-121</t>
  </si>
  <si>
    <t>6000-122</t>
  </si>
  <si>
    <t>6000-123</t>
  </si>
  <si>
    <t>6000-124</t>
  </si>
  <si>
    <t>6000-125</t>
  </si>
  <si>
    <t>6000-126</t>
  </si>
  <si>
    <t>6000-127</t>
  </si>
  <si>
    <t>6000-128</t>
  </si>
  <si>
    <t>6000-129</t>
  </si>
  <si>
    <t>6000-130</t>
  </si>
  <si>
    <t>6000-131</t>
  </si>
  <si>
    <t>6000-132</t>
  </si>
  <si>
    <t>6000-133</t>
  </si>
  <si>
    <t>6000-134</t>
  </si>
  <si>
    <t>6000-135</t>
  </si>
  <si>
    <t>6000-136</t>
  </si>
  <si>
    <t>6000-137</t>
  </si>
  <si>
    <t>6000-138</t>
  </si>
  <si>
    <t>6000-139</t>
  </si>
  <si>
    <t>6000-140</t>
  </si>
  <si>
    <t>6000-141</t>
  </si>
  <si>
    <t>6000-142</t>
  </si>
  <si>
    <t>6000-143</t>
  </si>
  <si>
    <t>6000-144</t>
  </si>
  <si>
    <t>6000-145</t>
  </si>
  <si>
    <t>6000-146</t>
  </si>
  <si>
    <t>6000-147</t>
  </si>
  <si>
    <t>6000-148</t>
  </si>
  <si>
    <t>6000-149</t>
  </si>
  <si>
    <t>6000-150</t>
  </si>
  <si>
    <t>6000-151</t>
  </si>
  <si>
    <t>6000-152</t>
  </si>
  <si>
    <t>6000-153</t>
  </si>
  <si>
    <t>6000-154</t>
  </si>
  <si>
    <t>6000-155</t>
  </si>
  <si>
    <t>6000-156</t>
  </si>
  <si>
    <t>6000-157</t>
  </si>
  <si>
    <t>6000-158</t>
  </si>
  <si>
    <t>6000-159</t>
  </si>
  <si>
    <t>6000-160</t>
  </si>
  <si>
    <t>6000-161</t>
  </si>
  <si>
    <t>6000-162</t>
  </si>
  <si>
    <t>6000-163</t>
  </si>
  <si>
    <t>6000-164</t>
  </si>
  <si>
    <t>6000-165</t>
  </si>
  <si>
    <t>6000-166</t>
  </si>
  <si>
    <t>6000-167</t>
  </si>
  <si>
    <t>6000-168</t>
  </si>
  <si>
    <t>6000-169</t>
  </si>
  <si>
    <t>6000-170</t>
  </si>
  <si>
    <t>6000-171</t>
  </si>
  <si>
    <t>6000-172</t>
  </si>
  <si>
    <t>6000-173</t>
  </si>
  <si>
    <t>6000-174</t>
  </si>
  <si>
    <t>6000-175</t>
  </si>
  <si>
    <t>6000-176</t>
  </si>
  <si>
    <t>6000-177</t>
  </si>
  <si>
    <t>6000-178</t>
  </si>
  <si>
    <t>6000-179</t>
  </si>
  <si>
    <t>6000-180</t>
  </si>
  <si>
    <t>6000-181</t>
  </si>
  <si>
    <t>6000-182</t>
  </si>
  <si>
    <t>6000-183</t>
  </si>
  <si>
    <t>6000-184</t>
  </si>
  <si>
    <t>6000-185</t>
  </si>
  <si>
    <t>6000-186</t>
  </si>
  <si>
    <t>6000-187</t>
  </si>
  <si>
    <t>6000-188</t>
  </si>
  <si>
    <t>6000-189</t>
  </si>
  <si>
    <t>6000-190</t>
  </si>
  <si>
    <t>6000-191</t>
  </si>
  <si>
    <t>6000-192</t>
  </si>
  <si>
    <t>6000-193</t>
  </si>
  <si>
    <t>6000-194</t>
  </si>
  <si>
    <t>6000-195</t>
  </si>
  <si>
    <t>6000-196</t>
  </si>
  <si>
    <t>6000-197</t>
  </si>
  <si>
    <t>6000-198</t>
  </si>
  <si>
    <t>6000-199</t>
  </si>
  <si>
    <t>6000-200</t>
  </si>
  <si>
    <t>6000-201</t>
  </si>
  <si>
    <t>6000-202</t>
  </si>
  <si>
    <t>6000-203</t>
  </si>
  <si>
    <t>6000-204</t>
  </si>
  <si>
    <t>6000-205</t>
  </si>
  <si>
    <t>6000-206</t>
  </si>
  <si>
    <t>6000-207</t>
  </si>
  <si>
    <t>6000-208</t>
  </si>
  <si>
    <t>6000-209</t>
  </si>
  <si>
    <t>6000-210</t>
  </si>
  <si>
    <t>6000-211</t>
  </si>
  <si>
    <t>6000-212</t>
  </si>
  <si>
    <t>6000-213</t>
  </si>
  <si>
    <t>6000-214</t>
  </si>
  <si>
    <t>6000-215</t>
  </si>
  <si>
    <t>6000-216</t>
  </si>
  <si>
    <t>6000-217</t>
  </si>
  <si>
    <t>6000-218</t>
  </si>
  <si>
    <t>6000-219</t>
  </si>
  <si>
    <t>6000-220</t>
  </si>
  <si>
    <t>6000-221</t>
  </si>
  <si>
    <t>6000-222</t>
  </si>
  <si>
    <t>6000-223</t>
  </si>
  <si>
    <t>6000-224</t>
  </si>
  <si>
    <t>6000-225</t>
  </si>
  <si>
    <t>6000-226</t>
  </si>
  <si>
    <t>6000-227</t>
  </si>
  <si>
    <t>6000-228</t>
  </si>
  <si>
    <t>6000-229</t>
  </si>
  <si>
    <t>6000-230</t>
  </si>
  <si>
    <t>6000-231</t>
  </si>
  <si>
    <t>6000-232</t>
  </si>
  <si>
    <t>6000-233</t>
  </si>
  <si>
    <t>6000-234</t>
  </si>
  <si>
    <t>6000-235</t>
  </si>
  <si>
    <t>6000-236</t>
  </si>
  <si>
    <t>6000-237</t>
  </si>
  <si>
    <t>6000-238</t>
  </si>
  <si>
    <t>6000-239</t>
  </si>
  <si>
    <t>6000-240</t>
  </si>
  <si>
    <t>6000-241</t>
  </si>
  <si>
    <t>6000-242</t>
  </si>
  <si>
    <t>6000-243</t>
  </si>
  <si>
    <t>6000-244</t>
  </si>
  <si>
    <t>6000-245</t>
  </si>
  <si>
    <t>6000-246</t>
  </si>
  <si>
    <t>6000-247</t>
  </si>
  <si>
    <t>6000-248</t>
  </si>
  <si>
    <t>6000-249</t>
  </si>
  <si>
    <t>6000-250</t>
  </si>
  <si>
    <t>6000-251</t>
  </si>
  <si>
    <t>6000-252</t>
  </si>
  <si>
    <t>6000-253</t>
  </si>
  <si>
    <t>Status</t>
  </si>
  <si>
    <t>Intermediate calculations</t>
  </si>
  <si>
    <t>Result</t>
  </si>
  <si>
    <t>combinations</t>
  </si>
  <si>
    <t>Warning if &gt;=</t>
  </si>
  <si>
    <t>Description</t>
  </si>
  <si>
    <t>Assumptions</t>
  </si>
  <si>
    <t>About</t>
  </si>
  <si>
    <t>www.solvermax.com</t>
  </si>
  <si>
    <t>Key</t>
  </si>
  <si>
    <t>Data</t>
  </si>
  <si>
    <t>Constant</t>
  </si>
  <si>
    <t>Highlight</t>
  </si>
  <si>
    <t>Error</t>
  </si>
  <si>
    <t>Solver variable</t>
  </si>
  <si>
    <t>Pasted values</t>
  </si>
  <si>
    <t>Version</t>
  </si>
  <si>
    <t>v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</si>
</sst>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_);_(* \(#,##0\);_(* &quot;-&quot;_);_(@_)"/>
    <numFmt numFmtId="165" formatCode="dd\ mmm\ yyyy"/>
    <numFmt numFmtId="166" formatCode="#,##0;\-#,##0;\-"/>
    <numFmt numFmtId="167" formatCode="#,##0;\-;\-"/>
  </numFmts>
  <fonts count="15" x14ac:knownFonts="1">
    <font>
      <sz val="11"/>
      <color theme="1"/>
      <name val="Calibri"/>
      <family val="2"/>
    </font>
    <font>
      <sz val="11"/>
      <color rgb="FF000000"/>
      <name val="Calibri"/>
      <family val="2"/>
    </font>
    <font>
      <sz val="11"/>
      <color theme="1"/>
      <name val="Calibri"/>
      <family val="2"/>
    </font>
    <font>
      <sz val="11"/>
      <color theme="1"/>
      <name val="Calibri Light"/>
      <family val="2"/>
    </font>
    <font>
      <sz val="13"/>
      <color theme="1"/>
      <name val="Calibri"/>
      <family val="2"/>
    </font>
    <font>
      <sz val="11"/>
      <color theme="4" tint="-0.24994659260841701"/>
      <name val="Calibri Light"/>
      <family val="2"/>
      <scheme val="major"/>
    </font>
    <font>
      <u/>
      <sz val="16"/>
      <name val="Calibri"/>
      <family val="2"/>
    </font>
    <font>
      <u/>
      <sz val="16"/>
      <name val="Calibri"/>
      <family val="2"/>
      <scheme val="minor"/>
    </font>
    <font>
      <u/>
      <sz val="11"/>
      <color theme="10"/>
      <name val="Calibri Light"/>
      <family val="2"/>
    </font>
    <font>
      <sz val="12"/>
      <color theme="1"/>
      <name val="Calibri"/>
      <family val="2"/>
    </font>
    <font>
      <sz val="11"/>
      <color theme="0" tint="-0.499984740745262"/>
      <name val="Calibri"/>
      <family val="2"/>
    </font>
    <font>
      <sz val="11"/>
      <color rgb="FFFF0000"/>
      <name val="Calibri Light"/>
      <family val="2"/>
    </font>
    <font>
      <sz val="11"/>
      <color rgb="FFFF8000"/>
      <name val="Calibri Light"/>
      <family val="2"/>
    </font>
    <font>
      <sz val="11"/>
      <color theme="1"/>
      <name val="Calibri Light"/>
      <family val="2"/>
      <scheme val="major"/>
    </font>
    <font>
      <sz val="11"/>
      <name val="Calibri Light"/>
      <family val="2"/>
      <scheme val="major"/>
    </font>
  </fonts>
  <fills count="6">
    <fill>
      <patternFill patternType="none"/>
    </fill>
    <fill>
      <patternFill patternType="gray125"/>
    </fill>
    <fill>
      <patternFill patternType="solid">
        <fgColor rgb="FFEBF5FF"/>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CAAB8"/>
        <bgColor indexed="64"/>
      </patternFill>
    </fill>
  </fills>
  <borders count="3">
    <border>
      <left/>
      <right/>
      <top/>
      <bottom/>
      <diagonal/>
    </border>
    <border>
      <left/>
      <right/>
      <top/>
      <bottom style="thin">
        <color indexed="64"/>
      </bottom>
      <diagonal/>
    </border>
    <border>
      <left/>
      <right/>
      <top/>
      <bottom style="thin">
        <color theme="1"/>
      </bottom>
      <diagonal/>
    </border>
  </borders>
  <cellStyleXfs count="11">
    <xf numFmtId="0" fontId="0" fillId="0" borderId="0"/>
    <xf numFmtId="0" fontId="3" fillId="0" borderId="0"/>
    <xf numFmtId="0" fontId="4" fillId="0" borderId="2" applyNumberFormat="0" applyAlignment="0" applyProtection="0"/>
    <xf numFmtId="0" fontId="5" fillId="2" borderId="0" applyNumberFormat="0" applyBorder="0" applyAlignment="0">
      <protection locked="0"/>
    </xf>
    <xf numFmtId="0" fontId="6" fillId="0" borderId="0" applyNumberFormat="0" applyFill="0" applyAlignment="0" applyProtection="0"/>
    <xf numFmtId="0" fontId="8" fillId="0" borderId="0" applyNumberFormat="0" applyFill="0" applyBorder="0" applyAlignment="0" applyProtection="0"/>
    <xf numFmtId="0" fontId="9" fillId="0" borderId="0" applyNumberFormat="0" applyFill="0" applyBorder="0" applyAlignment="0" applyProtection="0"/>
    <xf numFmtId="164" fontId="10" fillId="3" borderId="0" applyNumberFormat="0" applyBorder="0" applyAlignment="0"/>
    <xf numFmtId="0" fontId="2" fillId="4" borderId="0" applyNumberFormat="0" applyFont="0" applyBorder="0" applyAlignment="0"/>
    <xf numFmtId="164" fontId="11" fillId="0" borderId="0" applyNumberFormat="0" applyBorder="0" applyAlignment="0" applyProtection="0"/>
    <xf numFmtId="0" fontId="12" fillId="0" borderId="0" applyNumberFormat="0" applyFill="0" applyBorder="0" applyAlignment="0" applyProtection="0">
      <alignment horizontal="center"/>
    </xf>
  </cellStyleXfs>
  <cellXfs count="28">
    <xf numFmtId="0" fontId="0" fillId="0" borderId="0" xfId="0"/>
    <xf numFmtId="0" fontId="3" fillId="0" borderId="0" xfId="1"/>
    <xf numFmtId="0" fontId="3" fillId="0" borderId="0" xfId="1" applyAlignment="1">
      <alignment horizontal="right"/>
    </xf>
    <xf numFmtId="0" fontId="3" fillId="0" borderId="1" xfId="1" applyBorder="1"/>
    <xf numFmtId="0" fontId="4" fillId="0" borderId="1" xfId="2" applyBorder="1"/>
    <xf numFmtId="0" fontId="3" fillId="0" borderId="0" xfId="1" applyAlignment="1">
      <alignment horizontal="left"/>
    </xf>
    <xf numFmtId="0" fontId="3" fillId="0" borderId="1" xfId="1" applyBorder="1" applyAlignment="1">
      <alignment horizontal="left"/>
    </xf>
    <xf numFmtId="0" fontId="3" fillId="0" borderId="1" xfId="1" applyBorder="1" applyAlignment="1">
      <alignment horizontal="right"/>
    </xf>
    <xf numFmtId="2" fontId="3" fillId="0" borderId="1" xfId="1" applyNumberFormat="1" applyBorder="1" applyAlignment="1">
      <alignment horizontal="centerContinuous"/>
    </xf>
    <xf numFmtId="0" fontId="4" fillId="0" borderId="2" xfId="2"/>
    <xf numFmtId="0" fontId="6" fillId="0" borderId="0" xfId="4"/>
    <xf numFmtId="0" fontId="7" fillId="0" borderId="0" xfId="4" applyFont="1"/>
    <xf numFmtId="0" fontId="8" fillId="0" borderId="0" xfId="5"/>
    <xf numFmtId="0" fontId="9" fillId="0" borderId="0" xfId="6"/>
    <xf numFmtId="0" fontId="5" fillId="2" borderId="0" xfId="3">
      <protection locked="0"/>
    </xf>
    <xf numFmtId="0" fontId="10" fillId="3" borderId="0" xfId="7" applyNumberFormat="1"/>
    <xf numFmtId="0" fontId="0" fillId="4" borderId="0" xfId="8" applyFont="1"/>
    <xf numFmtId="0" fontId="0" fillId="5" borderId="0" xfId="8" applyFont="1" applyFill="1"/>
    <xf numFmtId="0" fontId="11" fillId="0" borderId="0" xfId="9" applyNumberFormat="1"/>
    <xf numFmtId="0" fontId="12" fillId="0" borderId="0" xfId="10" applyAlignment="1"/>
    <xf numFmtId="165" fontId="3" fillId="0" borderId="0" xfId="1" applyNumberFormat="1" applyAlignment="1">
      <alignment horizontal="left"/>
    </xf>
    <xf numFmtId="0" fontId="13" fillId="0" borderId="0" xfId="1" applyFont="1"/>
    <xf numFmtId="0" fontId="13" fillId="0" borderId="0" xfId="1" applyFont="1" applyAlignment="1">
      <alignment horizontal="right"/>
    </xf>
    <xf numFmtId="166" fontId="5" fillId="2" borderId="0" xfId="3" applyNumberFormat="1">
      <protection locked="0"/>
    </xf>
    <xf numFmtId="166" fontId="3" fillId="0" borderId="0" xfId="1" applyNumberFormat="1"/>
    <xf numFmtId="0" fontId="5" fillId="2" borderId="0" xfId="3" applyAlignment="1">
      <alignment horizontal="right"/>
      <protection locked="0"/>
    </xf>
    <xf numFmtId="0" fontId="14" fillId="0" borderId="0" xfId="0" applyFont="1" applyFill="1"/>
    <xf numFmtId="167" fontId="14" fillId="0" borderId="0" xfId="0" applyNumberFormat="1" applyFont="1" applyFill="1"/>
  </cellXfs>
  <cellStyles count="11">
    <cellStyle name="Constant" xfId="7" xr:uid="{73891C24-FDFF-4100-A1C0-E900DB60ADF8}"/>
    <cellStyle name="Data" xfId="3" xr:uid="{023D9082-7E5F-4588-9262-FAFA32A82571}"/>
    <cellStyle name="Heading 1 2" xfId="4" xr:uid="{4C87590A-D983-47B0-AF90-1DB98DAED8F6}"/>
    <cellStyle name="Heading 2 2" xfId="2" xr:uid="{402C4235-EFA2-426F-905E-90353D734805}"/>
    <cellStyle name="Heading 3 2" xfId="6" xr:uid="{8E13B8E5-A226-462B-BF88-55091184375B}"/>
    <cellStyle name="Highlight" xfId="8" xr:uid="{38FAB24D-A5CE-4CE1-97F6-8B451AAC58C2}"/>
    <cellStyle name="Hyperlink 2" xfId="5" xr:uid="{7EF569A6-9605-4B30-A5A8-267C07548B7B}"/>
    <cellStyle name="Normal" xfId="0" builtinId="0"/>
    <cellStyle name="Normal 2" xfId="1" xr:uid="{94F33ED0-D4B2-4E01-849C-218F91103A93}"/>
    <cellStyle name="Pasted values" xfId="10" xr:uid="{73F62683-E5F6-4E09-B00D-A3B548EF85A1}"/>
    <cellStyle name="Variable" xfId="9" xr:uid="{E53C018E-48EE-4C5B-AC92-2E519261D8F4}"/>
  </cellStyles>
  <dxfs count="12">
    <dxf>
      <font>
        <strike val="0"/>
      </font>
      <fill>
        <patternFill>
          <bgColor rgb="FFFCAAB8"/>
        </patternFill>
      </fill>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numFmt numFmtId="167" formatCode="#,##0;\-;\-"/>
    </dxf>
    <dxf>
      <font>
        <strike val="0"/>
        <outline val="0"/>
        <shadow val="0"/>
        <u val="none"/>
        <vertAlign val="baseline"/>
        <sz val="11"/>
        <color auto="1"/>
        <name val="Calibri Light"/>
        <family val="2"/>
        <scheme val="major"/>
      </font>
    </dxf>
    <dxf>
      <font>
        <strike val="0"/>
        <outline val="0"/>
        <shadow val="0"/>
        <u val="none"/>
        <vertAlign val="baseline"/>
        <sz val="11"/>
        <color auto="1"/>
        <name val="Calibri Light"/>
        <family val="2"/>
        <scheme val="major"/>
      </font>
    </dxf>
  </dxfs>
  <tableStyles count="0" defaultTableStyle="TableStyleMedium2" defaultPivotStyle="PivotStyleLight16"/>
  <colors>
    <mruColors>
      <color rgb="FFFCAA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xdr:colOff>
      <xdr:row>2</xdr:row>
      <xdr:rowOff>0</xdr:rowOff>
    </xdr:from>
    <xdr:to>
      <xdr:col>9</xdr:col>
      <xdr:colOff>1099</xdr:colOff>
      <xdr:row>25</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 y="457200"/>
          <a:ext cx="6173298" cy="440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36000" tIns="18000" rIns="18000" bIns="18000" rtlCol="0" anchor="t"/>
        <a:lstStyle/>
        <a:p>
          <a:r>
            <a:rPr lang="en-NZ" sz="1200" b="0">
              <a:latin typeface="+mn-lt"/>
            </a:rPr>
            <a:t>Purpose</a:t>
          </a:r>
          <a:endParaRPr lang="en-NZ" sz="1100" b="0">
            <a:latin typeface="+mn-lt"/>
          </a:endParaRPr>
        </a:p>
        <a:p>
          <a:r>
            <a:rPr lang="en-NZ" sz="1100">
              <a:latin typeface="+mj-lt"/>
            </a:rPr>
            <a:t>This workbook contains an example tool for creating a list of cutting patterns</a:t>
          </a:r>
          <a:r>
            <a:rPr lang="en-NZ" sz="1100" baseline="0">
              <a:latin typeface="+mj-lt"/>
            </a:rPr>
            <a:t>.</a:t>
          </a:r>
        </a:p>
        <a:p>
          <a:endParaRPr lang="en-NZ" sz="1100" baseline="0">
            <a:latin typeface="+mj-lt"/>
          </a:endParaRPr>
        </a:p>
        <a:p>
          <a:pPr marL="0" marR="0" indent="0" defTabSz="914400" eaLnBrk="1" fontAlgn="auto" latinLnBrk="0" hangingPunct="1">
            <a:lnSpc>
              <a:spcPct val="100000"/>
            </a:lnSpc>
            <a:spcBef>
              <a:spcPts val="0"/>
            </a:spcBef>
            <a:spcAft>
              <a:spcPts val="0"/>
            </a:spcAft>
            <a:buClrTx/>
            <a:buSzTx/>
            <a:buFontTx/>
            <a:buNone/>
            <a:tabLst/>
            <a:defRPr/>
          </a:pPr>
          <a:r>
            <a:rPr lang="en-NZ" sz="1100" baseline="0">
              <a:solidFill>
                <a:schemeClr val="dk1"/>
              </a:solidFill>
              <a:effectLst/>
              <a:latin typeface="+mj-lt"/>
              <a:ea typeface="+mn-ea"/>
              <a:cs typeface="+mn-cs"/>
            </a:rPr>
            <a:t>This workbook should be read in conjunction with the articles at:</a:t>
          </a:r>
        </a:p>
        <a:p>
          <a:pPr marL="0" marR="0" indent="0" defTabSz="914400" eaLnBrk="1" fontAlgn="auto" latinLnBrk="0" hangingPunct="1">
            <a:lnSpc>
              <a:spcPct val="100000"/>
            </a:lnSpc>
            <a:spcBef>
              <a:spcPts val="0"/>
            </a:spcBef>
            <a:spcAft>
              <a:spcPts val="0"/>
            </a:spcAft>
            <a:buClrTx/>
            <a:buSzTx/>
            <a:buFontTx/>
            <a:buNone/>
            <a:tabLst/>
            <a:defRPr/>
          </a:pPr>
          <a:r>
            <a:rPr lang="en-NZ" sz="1100">
              <a:solidFill>
                <a:schemeClr val="dk1"/>
              </a:solidFill>
              <a:effectLst/>
              <a:latin typeface="+mj-lt"/>
              <a:ea typeface="+mn-ea"/>
              <a:cs typeface="+mn-cs"/>
            </a:rPr>
            <a:t>http://www.solvermax.com</a:t>
          </a:r>
        </a:p>
        <a:p>
          <a:pPr marL="0" marR="0" indent="0" defTabSz="914400" eaLnBrk="1" fontAlgn="auto" latinLnBrk="0" hangingPunct="1">
            <a:lnSpc>
              <a:spcPct val="100000"/>
            </a:lnSpc>
            <a:spcBef>
              <a:spcPts val="0"/>
            </a:spcBef>
            <a:spcAft>
              <a:spcPts val="0"/>
            </a:spcAft>
            <a:buClrTx/>
            <a:buSzTx/>
            <a:buFontTx/>
            <a:buNone/>
            <a:tabLst/>
            <a:defRPr/>
          </a:pPr>
          <a:endParaRPr lang="en-NZ" sz="1100">
            <a:latin typeface="+mj-lt"/>
          </a:endParaRPr>
        </a:p>
        <a:p>
          <a:r>
            <a:rPr lang="en-NZ" sz="1200" b="0">
              <a:latin typeface="+mn-lt"/>
            </a:rPr>
            <a:t>Sheets</a:t>
          </a:r>
          <a:endParaRPr lang="en-NZ" sz="1100" b="0">
            <a:latin typeface="+mn-lt"/>
          </a:endParaRPr>
        </a:p>
        <a:p>
          <a:r>
            <a:rPr lang="en-NZ" sz="1100">
              <a:latin typeface="+mj-lt"/>
            </a:rPr>
            <a:t>This workbook contains the following sheets:</a:t>
          </a:r>
        </a:p>
        <a:p>
          <a:r>
            <a:rPr lang="en-NZ" sz="1100">
              <a:latin typeface="+mj-lt"/>
            </a:rPr>
            <a:t>   'About': </a:t>
          </a:r>
          <a:r>
            <a:rPr lang="en-NZ" sz="1100" baseline="0">
              <a:latin typeface="+mj-lt"/>
            </a:rPr>
            <a:t>	This sheet, used to document the workbook.</a:t>
          </a:r>
        </a:p>
        <a:p>
          <a:r>
            <a:rPr lang="en-NZ" sz="1100">
              <a:latin typeface="+mj-lt"/>
            </a:rPr>
            <a:t>   'Patterns': </a:t>
          </a:r>
          <a:r>
            <a:rPr lang="en-NZ" sz="1100" baseline="0">
              <a:latin typeface="+mj-lt"/>
            </a:rPr>
            <a:t>	A tool for creating a Table of cutting patterns.</a:t>
          </a:r>
        </a:p>
        <a:p>
          <a:endParaRPr lang="en-NZ" sz="1100">
            <a:latin typeface="+mj-lt"/>
          </a:endParaRPr>
        </a:p>
        <a:p>
          <a:r>
            <a:rPr lang="en-NZ" sz="1100" b="0">
              <a:solidFill>
                <a:schemeClr val="dk1"/>
              </a:solidFill>
              <a:effectLst/>
              <a:latin typeface="+mn-lt"/>
              <a:ea typeface="+mn-ea"/>
              <a:cs typeface="+mn-cs"/>
            </a:rPr>
            <a:t>VBA</a:t>
          </a:r>
        </a:p>
        <a:p>
          <a:r>
            <a:rPr lang="en-NZ" sz="1100">
              <a:latin typeface="+mj-lt"/>
            </a:rPr>
            <a:t>This workbook contains a VBA procedure that creates the patterns. See the VBA code</a:t>
          </a:r>
          <a:r>
            <a:rPr lang="en-NZ" sz="1100" baseline="0">
              <a:latin typeface="+mj-lt"/>
            </a:rPr>
            <a:t> and comments</a:t>
          </a:r>
          <a:r>
            <a:rPr lang="en-NZ" sz="1100">
              <a:latin typeface="+mj-lt"/>
            </a:rPr>
            <a:t> for more information.</a:t>
          </a:r>
        </a:p>
        <a:p>
          <a:endParaRPr lang="en-NZ" sz="1100">
            <a:latin typeface="+mj-lt"/>
          </a:endParaRPr>
        </a:p>
        <a:p>
          <a:r>
            <a:rPr lang="en-NZ" sz="1200" b="0" baseline="0">
              <a:latin typeface="+mn-lt"/>
            </a:rPr>
            <a:t>Disclaimer</a:t>
          </a:r>
          <a:endParaRPr lang="en-NZ" sz="1100" b="0" baseline="0">
            <a:latin typeface="+mn-lt"/>
          </a:endParaRPr>
        </a:p>
        <a:p>
          <a:r>
            <a:rPr lang="en-NZ" sz="1100" baseline="0">
              <a:latin typeface="+mj-lt"/>
            </a:rPr>
            <a:t>This workbook </a:t>
          </a:r>
          <a:r>
            <a:rPr lang="en-NZ">
              <a:latin typeface="+mj-lt"/>
            </a:rPr>
            <a:t>is presented on an as is basis for illustrative purposes only and should not be relied upon for making financial, legal or any other commitments. Solver Max will accept no responsibility or liability for any errors or omissions.</a:t>
          </a:r>
        </a:p>
        <a:p>
          <a:endParaRPr lang="en-NZ" sz="1100">
            <a:latin typeface="+mj-lt"/>
          </a:endParaRPr>
        </a:p>
        <a:p>
          <a:r>
            <a:rPr lang="en-NZ" sz="1200" b="0">
              <a:latin typeface="+mn-lt"/>
            </a:rPr>
            <a:t>Copyright</a:t>
          </a:r>
          <a:endParaRPr lang="en-NZ" sz="1100" b="0">
            <a:latin typeface="+mn-lt"/>
          </a:endParaRPr>
        </a:p>
        <a:p>
          <a:pPr marL="0" marR="0" indent="0" defTabSz="914400" eaLnBrk="1" fontAlgn="auto" latinLnBrk="0" hangingPunct="1">
            <a:lnSpc>
              <a:spcPct val="100000"/>
            </a:lnSpc>
            <a:spcBef>
              <a:spcPts val="0"/>
            </a:spcBef>
            <a:spcAft>
              <a:spcPts val="0"/>
            </a:spcAft>
            <a:buClrTx/>
            <a:buSzTx/>
            <a:buFontTx/>
            <a:buNone/>
            <a:tabLst/>
            <a:defRPr/>
          </a:pPr>
          <a:r>
            <a:rPr lang="en-NZ" sz="1100">
              <a:latin typeface="+mj-lt"/>
            </a:rPr>
            <a:t>This workbook is © </a:t>
          </a:r>
          <a:r>
            <a:rPr lang="en-NZ" sz="1100">
              <a:solidFill>
                <a:schemeClr val="dk1"/>
              </a:solidFill>
              <a:latin typeface="+mj-lt"/>
              <a:ea typeface="+mn-ea"/>
              <a:cs typeface="+mn-cs"/>
            </a:rPr>
            <a:t>Copyright </a:t>
          </a:r>
          <a:r>
            <a:rPr lang="en-NZ" sz="1100">
              <a:latin typeface="+mj-lt"/>
            </a:rPr>
            <a:t>2021 Solver Max</a:t>
          </a:r>
          <a:r>
            <a:rPr lang="en-NZ" b="0" i="0">
              <a:latin typeface="+mj-lt"/>
              <a:cs typeface="Times New Roman" pitchFamily="18" charset="0"/>
            </a:rPr>
            <a:t>.</a:t>
          </a:r>
        </a:p>
        <a:p>
          <a:pPr marL="0" marR="0" indent="0" defTabSz="914400" eaLnBrk="1" fontAlgn="auto" latinLnBrk="0" hangingPunct="1">
            <a:lnSpc>
              <a:spcPct val="100000"/>
            </a:lnSpc>
            <a:spcBef>
              <a:spcPts val="0"/>
            </a:spcBef>
            <a:spcAft>
              <a:spcPts val="0"/>
            </a:spcAft>
            <a:buClrTx/>
            <a:buSzTx/>
            <a:buFontTx/>
            <a:buNone/>
            <a:tabLst/>
            <a:defRPr/>
          </a:pPr>
          <a:r>
            <a:rPr lang="en-NZ" b="0" i="0">
              <a:latin typeface="+mj-lt"/>
              <a:cs typeface="Times New Roman" pitchFamily="18" charset="0"/>
            </a:rPr>
            <a:t>Solver Max retains copyright of this workbook.</a:t>
          </a:r>
        </a:p>
      </xdr:txBody>
    </xdr:sp>
    <xdr:clientData/>
  </xdr:twoCellAnchor>
  <xdr:twoCellAnchor editAs="oneCell">
    <xdr:from>
      <xdr:col>10</xdr:col>
      <xdr:colOff>13765</xdr:colOff>
      <xdr:row>0</xdr:row>
      <xdr:rowOff>30745</xdr:rowOff>
    </xdr:from>
    <xdr:to>
      <xdr:col>10</xdr:col>
      <xdr:colOff>1206699</xdr:colOff>
      <xdr:row>9</xdr:row>
      <xdr:rowOff>110499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71765" y="30745"/>
          <a:ext cx="1192934" cy="18704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571500</xdr:colOff>
          <xdr:row>2</xdr:row>
          <xdr:rowOff>28575</xdr:rowOff>
        </xdr:from>
        <xdr:to>
          <xdr:col>8</xdr:col>
          <xdr:colOff>666750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11</xdr:col>
      <xdr:colOff>0</xdr:colOff>
      <xdr:row>3</xdr:row>
      <xdr:rowOff>0</xdr:rowOff>
    </xdr:from>
    <xdr:to>
      <xdr:col>24</xdr:col>
      <xdr:colOff>0</xdr:colOff>
      <xdr:row>43</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8858250" y="571500"/>
          <a:ext cx="8667750" cy="762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18000" rIns="18000" bIns="18000" rtlCol="0" anchor="t"/>
        <a:lstStyle/>
        <a:p>
          <a:r>
            <a:rPr lang="en-NZ" sz="1200"/>
            <a:t>Purpose</a:t>
          </a:r>
        </a:p>
        <a:p>
          <a:r>
            <a:rPr lang="en-NZ" sz="1100">
              <a:latin typeface="+mj-lt"/>
            </a:rPr>
            <a:t>This workbook creates a list of cutting patterns given a stock item and a list of items that are </a:t>
          </a:r>
          <a:r>
            <a:rPr lang="en-NZ" sz="1100">
              <a:solidFill>
                <a:schemeClr val="dk1"/>
              </a:solidFill>
              <a:effectLst/>
              <a:latin typeface="+mj-lt"/>
              <a:ea typeface="+mn-ea"/>
              <a:cs typeface="+mn-cs"/>
            </a:rPr>
            <a:t>required to</a:t>
          </a:r>
          <a:r>
            <a:rPr lang="en-NZ" sz="1100" baseline="0">
              <a:solidFill>
                <a:schemeClr val="dk1"/>
              </a:solidFill>
              <a:effectLst/>
              <a:latin typeface="+mj-lt"/>
              <a:ea typeface="+mn-ea"/>
              <a:cs typeface="+mn-cs"/>
            </a:rPr>
            <a:t> be cut from the stock.</a:t>
          </a:r>
          <a:endParaRPr lang="en-NZ" sz="1100">
            <a:latin typeface="+mj-lt"/>
          </a:endParaRPr>
        </a:p>
        <a:p>
          <a:endParaRPr lang="en-NZ" sz="1100">
            <a:latin typeface="+mj-lt"/>
          </a:endParaRPr>
        </a:p>
        <a:p>
          <a:r>
            <a:rPr lang="en-NZ" sz="1100">
              <a:latin typeface="+mj-lt"/>
            </a:rPr>
            <a:t>Each pattern consists of the number of each required item to cut from the stock. The patterns are created by a VBA procedure that enumerates all combinations of the required items.</a:t>
          </a:r>
          <a:r>
            <a:rPr lang="en-NZ" sz="1100" baseline="0">
              <a:latin typeface="+mj-lt"/>
            </a:rPr>
            <a:t> The procedure </a:t>
          </a:r>
          <a:r>
            <a:rPr lang="en-NZ" sz="1100">
              <a:latin typeface="+mj-lt"/>
            </a:rPr>
            <a:t>rejects</a:t>
          </a:r>
          <a:r>
            <a:rPr lang="en-NZ" sz="1100" baseline="0">
              <a:latin typeface="+mj-lt"/>
            </a:rPr>
            <a:t> all combinations that do not adhere to the following criteria:</a:t>
          </a:r>
          <a:endParaRPr lang="en-NZ" sz="1100">
            <a:latin typeface="+mj-lt"/>
          </a:endParaRPr>
        </a:p>
        <a:p>
          <a:r>
            <a:rPr lang="en-NZ" sz="1100">
              <a:latin typeface="+mj-lt"/>
            </a:rPr>
            <a:t>- The total length of required items must be less than or equal to the length of the stock.</a:t>
          </a:r>
          <a:r>
            <a:rPr lang="en-NZ" sz="1100" baseline="0">
              <a:latin typeface="+mj-lt"/>
            </a:rPr>
            <a:t> O</a:t>
          </a:r>
          <a:r>
            <a:rPr lang="en-NZ" sz="1100">
              <a:latin typeface="+mj-lt"/>
            </a:rPr>
            <a:t>therwise the combination would be infeasible.</a:t>
          </a:r>
        </a:p>
        <a:p>
          <a:r>
            <a:rPr lang="en-NZ" sz="1100">
              <a:latin typeface="+mj-lt"/>
            </a:rPr>
            <a:t>- The pattern isn't empty</a:t>
          </a:r>
          <a:r>
            <a:rPr lang="en-NZ" sz="1100" baseline="0">
              <a:latin typeface="+mj-lt"/>
            </a:rPr>
            <a:t>.</a:t>
          </a:r>
          <a:endParaRPr lang="en-NZ" sz="1100">
            <a:latin typeface="+mj-lt"/>
          </a:endParaRPr>
        </a:p>
        <a:p>
          <a:endParaRPr lang="en-NZ" sz="1100">
            <a:latin typeface="+mj-lt"/>
          </a:endParaRPr>
        </a:p>
        <a:p>
          <a:r>
            <a:rPr lang="en-NZ" sz="1100">
              <a:latin typeface="+mj-lt"/>
            </a:rPr>
            <a:t>The result is a set of feasible</a:t>
          </a:r>
          <a:r>
            <a:rPr lang="en-NZ" sz="1100" baseline="0">
              <a:latin typeface="+mj-lt"/>
            </a:rPr>
            <a:t> cutting patterns that can be used as data for an optimization model.</a:t>
          </a:r>
        </a:p>
        <a:p>
          <a:endParaRPr lang="en-NZ" sz="1100"/>
        </a:p>
        <a:p>
          <a:r>
            <a:rPr lang="en-NZ" sz="1200"/>
            <a:t>Instructions</a:t>
          </a:r>
        </a:p>
        <a:p>
          <a:r>
            <a:rPr lang="en-NZ" sz="1100">
              <a:latin typeface="+mj-lt"/>
            </a:rPr>
            <a:t>To create a table of cutting patterns:</a:t>
          </a:r>
        </a:p>
        <a:p>
          <a:r>
            <a:rPr lang="en-NZ" sz="1100">
              <a:latin typeface="+mj-lt"/>
            </a:rPr>
            <a:t>-</a:t>
          </a:r>
          <a:r>
            <a:rPr lang="en-NZ" sz="1100" baseline="0">
              <a:latin typeface="+mj-lt"/>
            </a:rPr>
            <a:t> Enter the length of the stock.</a:t>
          </a:r>
        </a:p>
        <a:p>
          <a:r>
            <a:rPr lang="en-NZ" sz="1100" baseline="0">
              <a:latin typeface="+mj-lt"/>
            </a:rPr>
            <a:t>- Enter the length of each required item.</a:t>
          </a:r>
        </a:p>
        <a:p>
          <a:r>
            <a:rPr lang="en-NZ" sz="1100" baseline="0">
              <a:latin typeface="+mj-lt"/>
            </a:rPr>
            <a:t>- Enter the names of the required items in the Table headings.</a:t>
          </a:r>
        </a:p>
        <a:p>
          <a:r>
            <a:rPr lang="en-NZ" sz="1100" baseline="0">
              <a:latin typeface="+mj-lt"/>
            </a:rPr>
            <a:t>- If you need more or fewer required items, then insert or delete columns in the middle of the data (e.g. around column E). If inserting, then copy the formulae to the new columns. At least three required items are needed.</a:t>
          </a:r>
        </a:p>
        <a:p>
          <a:r>
            <a:rPr lang="en-NZ" sz="1100" baseline="0">
              <a:latin typeface="+mj-lt"/>
            </a:rPr>
            <a:t>- Click the "Refresh" button to run the VBA procedure that updates the Tables and Result section.</a:t>
          </a:r>
        </a:p>
        <a:p>
          <a:endParaRPr lang="en-NZ" sz="1100" baseline="0">
            <a:latin typeface="+mj-lt"/>
          </a:endParaRPr>
        </a:p>
        <a:p>
          <a:r>
            <a:rPr lang="en-NZ" sz="1100" baseline="0">
              <a:latin typeface="+mj-lt"/>
            </a:rPr>
            <a:t>If the number of combinations isn't too large, then it should take only a few seconds to complete the task. For example, 10 million combinations will take around 10 seconds to complete. Beware that the number of combinations grows very quickly, as will the processing time.</a:t>
          </a:r>
        </a:p>
        <a:p>
          <a:r>
            <a:rPr lang="en-NZ" sz="1100" baseline="0">
              <a:latin typeface="+mj-lt"/>
            </a:rPr>
            <a:t>The output Table will automatically adjust to the number of patterns.</a:t>
          </a:r>
        </a:p>
        <a:p>
          <a:r>
            <a:rPr lang="en-NZ" sz="1100" baseline="0">
              <a:latin typeface="+mj-lt"/>
            </a:rPr>
            <a:t>Note that a warning is displayed if one or more required items is longer than the stock length. The process for creating patterns will still work, but such items will not be included in any patterns.</a:t>
          </a:r>
        </a:p>
        <a:p>
          <a:endParaRPr lang="en-NZ">
            <a:effectLst/>
            <a:latin typeface="+mj-lt"/>
          </a:endParaRPr>
        </a:p>
        <a:p>
          <a:r>
            <a:rPr lang="en-NZ" sz="1100">
              <a:solidFill>
                <a:schemeClr val="dk1"/>
              </a:solidFill>
              <a:effectLst/>
              <a:latin typeface="+mn-lt"/>
              <a:ea typeface="+mn-ea"/>
              <a:cs typeface="+mn-cs"/>
            </a:rPr>
            <a:t>Example</a:t>
          </a:r>
          <a:endParaRPr lang="en-NZ">
            <a:effectLst/>
          </a:endParaRPr>
        </a:p>
        <a:p>
          <a:r>
            <a:rPr lang="en-NZ" sz="1100">
              <a:solidFill>
                <a:schemeClr val="dk1"/>
              </a:solidFill>
              <a:effectLst/>
              <a:latin typeface="+mj-lt"/>
              <a:ea typeface="+mn-ea"/>
              <a:cs typeface="+mn-cs"/>
            </a:rPr>
            <a:t>As supplied, this workbook works with the following example:</a:t>
          </a:r>
        </a:p>
        <a:p>
          <a:r>
            <a:rPr lang="en-NZ" sz="1100">
              <a:solidFill>
                <a:schemeClr val="dk1"/>
              </a:solidFill>
              <a:effectLst/>
              <a:latin typeface="+mj-lt"/>
              <a:ea typeface="+mn-ea"/>
              <a:cs typeface="+mn-cs"/>
            </a:rPr>
            <a:t>-</a:t>
          </a:r>
          <a:r>
            <a:rPr lang="en-NZ" sz="1100" baseline="0">
              <a:solidFill>
                <a:schemeClr val="dk1"/>
              </a:solidFill>
              <a:effectLst/>
              <a:latin typeface="+mj-lt"/>
              <a:ea typeface="+mn-ea"/>
              <a:cs typeface="+mn-cs"/>
            </a:rPr>
            <a:t> Stock length is 6000 mm.</a:t>
          </a:r>
          <a:endParaRPr lang="en-NZ">
            <a:effectLst/>
            <a:latin typeface="+mj-lt"/>
          </a:endParaRPr>
        </a:p>
        <a:p>
          <a:r>
            <a:rPr lang="en-NZ" sz="1100" baseline="0">
              <a:solidFill>
                <a:schemeClr val="dk1"/>
              </a:solidFill>
              <a:effectLst/>
              <a:latin typeface="+mj-lt"/>
              <a:ea typeface="+mn-ea"/>
              <a:cs typeface="+mn-cs"/>
            </a:rPr>
            <a:t>- We are required to cut items of lengths 2316, 2200, 1650, 1460, 1140, 1120, and 980 mm.</a:t>
          </a:r>
          <a:endParaRPr lang="en-NZ">
            <a:effectLst/>
            <a:latin typeface="+mj-lt"/>
          </a:endParaRPr>
        </a:p>
        <a:p>
          <a:r>
            <a:rPr lang="en-NZ" sz="1100" baseline="0">
              <a:solidFill>
                <a:schemeClr val="dk1"/>
              </a:solidFill>
              <a:effectLst/>
              <a:latin typeface="+mj-lt"/>
              <a:ea typeface="+mn-ea"/>
              <a:cs typeface="+mn-cs"/>
            </a:rPr>
            <a:t>- For each required item, we calculate the number of pieces of just that item that could be cut from the stock. e.g. we could cut 2 lengths of 2316 mm and 1 length of 1140 mm (total length of 5772 mm, with waste of 228 mm), or 6 lengths of 980 mm (total length of 5880 mm, with waste of 120 mm).</a:t>
          </a:r>
          <a:endParaRPr lang="en-NZ">
            <a:effectLst/>
            <a:latin typeface="+mj-lt"/>
          </a:endParaRPr>
        </a:p>
        <a:p>
          <a:r>
            <a:rPr lang="en-NZ" sz="1100" baseline="0">
              <a:solidFill>
                <a:schemeClr val="dk1"/>
              </a:solidFill>
              <a:effectLst/>
              <a:latin typeface="+mj-lt"/>
              <a:ea typeface="+mn-ea"/>
              <a:cs typeface="+mn-cs"/>
            </a:rPr>
            <a:t>- The number of combinations for each required item is one more than the number of pieces, to allow for the possibility of zero pieces. i.e. we could cut 0, 1, 2 of the item with length 2316 mm from the 6000 mm stock.</a:t>
          </a:r>
          <a:endParaRPr lang="en-NZ">
            <a:effectLst/>
            <a:latin typeface="+mj-lt"/>
          </a:endParaRPr>
        </a:p>
        <a:p>
          <a:r>
            <a:rPr lang="en-NZ" sz="1100" baseline="0">
              <a:solidFill>
                <a:schemeClr val="dk1"/>
              </a:solidFill>
              <a:effectLst/>
              <a:latin typeface="+mj-lt"/>
              <a:ea typeface="+mn-ea"/>
              <a:cs typeface="+mn-cs"/>
            </a:rPr>
            <a:t>- There 45,360 combinations of the items. That is, 3 * 3 * 4 * 5 * 6 * 6 * 7 = 45,360.</a:t>
          </a:r>
          <a:endParaRPr lang="en-NZ">
            <a:effectLst/>
            <a:latin typeface="+mj-lt"/>
          </a:endParaRPr>
        </a:p>
        <a:p>
          <a:r>
            <a:rPr lang="en-NZ" sz="1100" baseline="0">
              <a:solidFill>
                <a:schemeClr val="dk1"/>
              </a:solidFill>
              <a:effectLst/>
              <a:latin typeface="+mj-lt"/>
              <a:ea typeface="+mn-ea"/>
              <a:cs typeface="+mn-cs"/>
            </a:rPr>
            <a:t>- In general, we expect the vast majority of the combinations to be infeasible. After rejecting the infeasible combinations, the VBA outputs the 253 patterns that meet our criteria.</a:t>
          </a:r>
          <a:endParaRPr lang="en-NZ">
            <a:effectLst/>
            <a:latin typeface="+mj-lt"/>
          </a:endParaRPr>
        </a:p>
        <a:p>
          <a:endParaRPr lang="en-NZ"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odcuttingpatter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out"/>
      <sheetName val="Model"/>
      <sheetName val="Analysis"/>
      <sheetName val="Control"/>
    </sheetNames>
    <sheetDataSet>
      <sheetData sheetId="0" refreshError="1"/>
      <sheetData sheetId="1">
        <row r="28">
          <cell r="B28">
            <v>789</v>
          </cell>
          <cell r="C28">
            <v>254</v>
          </cell>
          <cell r="D28">
            <v>468</v>
          </cell>
          <cell r="E28">
            <v>554</v>
          </cell>
          <cell r="F28">
            <v>4686</v>
          </cell>
          <cell r="G28">
            <v>1179</v>
          </cell>
          <cell r="H28">
            <v>969</v>
          </cell>
          <cell r="T28">
            <v>202.29599999999999</v>
          </cell>
        </row>
        <row r="29">
          <cell r="X29">
            <v>8</v>
          </cell>
        </row>
        <row r="35">
          <cell r="R35">
            <v>789</v>
          </cell>
          <cell r="S35">
            <v>254</v>
          </cell>
          <cell r="T35">
            <v>468</v>
          </cell>
          <cell r="U35">
            <v>554</v>
          </cell>
          <cell r="V35">
            <v>4686</v>
          </cell>
          <cell r="W35">
            <v>1179</v>
          </cell>
          <cell r="X35">
            <v>969</v>
          </cell>
        </row>
        <row r="40">
          <cell r="L40">
            <v>0</v>
          </cell>
          <cell r="O40">
            <v>0</v>
          </cell>
        </row>
        <row r="41">
          <cell r="L41">
            <v>0</v>
          </cell>
          <cell r="O41">
            <v>0</v>
          </cell>
        </row>
        <row r="42">
          <cell r="L42">
            <v>0</v>
          </cell>
          <cell r="O42">
            <v>0</v>
          </cell>
        </row>
        <row r="43">
          <cell r="L43">
            <v>0</v>
          </cell>
          <cell r="O43">
            <v>0</v>
          </cell>
        </row>
        <row r="44">
          <cell r="L44">
            <v>0</v>
          </cell>
          <cell r="O44">
            <v>0</v>
          </cell>
        </row>
        <row r="45">
          <cell r="L45">
            <v>0</v>
          </cell>
          <cell r="O45">
            <v>0</v>
          </cell>
        </row>
        <row r="46">
          <cell r="L46">
            <v>0</v>
          </cell>
          <cell r="O46">
            <v>0</v>
          </cell>
        </row>
        <row r="47">
          <cell r="L47">
            <v>0</v>
          </cell>
          <cell r="O47">
            <v>0</v>
          </cell>
        </row>
        <row r="48">
          <cell r="L48">
            <v>0</v>
          </cell>
          <cell r="O48">
            <v>0</v>
          </cell>
        </row>
        <row r="49">
          <cell r="L49">
            <v>0</v>
          </cell>
          <cell r="O49">
            <v>0</v>
          </cell>
        </row>
        <row r="50">
          <cell r="L50">
            <v>0</v>
          </cell>
          <cell r="O50">
            <v>0</v>
          </cell>
        </row>
        <row r="51">
          <cell r="L51">
            <v>0</v>
          </cell>
          <cell r="O51">
            <v>0</v>
          </cell>
        </row>
        <row r="52">
          <cell r="L52">
            <v>0</v>
          </cell>
          <cell r="O52">
            <v>0</v>
          </cell>
        </row>
        <row r="53">
          <cell r="L53">
            <v>0</v>
          </cell>
          <cell r="O53">
            <v>0</v>
          </cell>
        </row>
        <row r="54">
          <cell r="L54">
            <v>0</v>
          </cell>
          <cell r="O54">
            <v>0</v>
          </cell>
        </row>
        <row r="55">
          <cell r="L55">
            <v>0</v>
          </cell>
          <cell r="O55">
            <v>0</v>
          </cell>
        </row>
        <row r="56">
          <cell r="L56">
            <v>0</v>
          </cell>
          <cell r="O56">
            <v>0</v>
          </cell>
        </row>
        <row r="57">
          <cell r="L57">
            <v>0</v>
          </cell>
          <cell r="O57">
            <v>0</v>
          </cell>
        </row>
        <row r="58">
          <cell r="L58">
            <v>0</v>
          </cell>
          <cell r="O58">
            <v>0</v>
          </cell>
        </row>
        <row r="59">
          <cell r="L59">
            <v>0</v>
          </cell>
          <cell r="O59">
            <v>0</v>
          </cell>
        </row>
        <row r="60">
          <cell r="L60">
            <v>0</v>
          </cell>
          <cell r="O60">
            <v>0</v>
          </cell>
        </row>
        <row r="61">
          <cell r="L61">
            <v>0</v>
          </cell>
          <cell r="O61">
            <v>0</v>
          </cell>
        </row>
        <row r="62">
          <cell r="L62">
            <v>0</v>
          </cell>
          <cell r="O62">
            <v>0</v>
          </cell>
        </row>
        <row r="63">
          <cell r="L63">
            <v>0</v>
          </cell>
          <cell r="O63">
            <v>0</v>
          </cell>
        </row>
        <row r="64">
          <cell r="L64">
            <v>0</v>
          </cell>
          <cell r="O64">
            <v>0</v>
          </cell>
        </row>
        <row r="65">
          <cell r="L65">
            <v>0</v>
          </cell>
          <cell r="O65">
            <v>0</v>
          </cell>
        </row>
        <row r="66">
          <cell r="L66">
            <v>0</v>
          </cell>
          <cell r="O66">
            <v>0</v>
          </cell>
        </row>
        <row r="67">
          <cell r="L67">
            <v>0</v>
          </cell>
          <cell r="O67">
            <v>0</v>
          </cell>
        </row>
        <row r="68">
          <cell r="L68">
            <v>0</v>
          </cell>
          <cell r="O68">
            <v>0</v>
          </cell>
        </row>
        <row r="69">
          <cell r="L69">
            <v>0</v>
          </cell>
          <cell r="O69">
            <v>0</v>
          </cell>
        </row>
        <row r="70">
          <cell r="L70">
            <v>0</v>
          </cell>
          <cell r="O70">
            <v>0</v>
          </cell>
        </row>
        <row r="71">
          <cell r="L71">
            <v>0</v>
          </cell>
          <cell r="O71">
            <v>0</v>
          </cell>
        </row>
        <row r="72">
          <cell r="L72">
            <v>0</v>
          </cell>
          <cell r="O72">
            <v>0</v>
          </cell>
        </row>
        <row r="73">
          <cell r="L73">
            <v>0</v>
          </cell>
          <cell r="O73">
            <v>0</v>
          </cell>
        </row>
        <row r="74">
          <cell r="L74">
            <v>0</v>
          </cell>
          <cell r="O74">
            <v>0</v>
          </cell>
        </row>
        <row r="75">
          <cell r="L75">
            <v>0</v>
          </cell>
          <cell r="O75">
            <v>0</v>
          </cell>
        </row>
        <row r="76">
          <cell r="L76">
            <v>0</v>
          </cell>
          <cell r="O76">
            <v>0</v>
          </cell>
        </row>
        <row r="77">
          <cell r="L77">
            <v>0</v>
          </cell>
          <cell r="O77">
            <v>0</v>
          </cell>
        </row>
        <row r="78">
          <cell r="L78">
            <v>0</v>
          </cell>
          <cell r="O78">
            <v>0</v>
          </cell>
        </row>
        <row r="79">
          <cell r="L79">
            <v>0</v>
          </cell>
          <cell r="O79">
            <v>0</v>
          </cell>
        </row>
        <row r="80">
          <cell r="L80">
            <v>0</v>
          </cell>
          <cell r="O80">
            <v>0</v>
          </cell>
        </row>
        <row r="81">
          <cell r="L81">
            <v>0</v>
          </cell>
          <cell r="O81">
            <v>0</v>
          </cell>
        </row>
        <row r="82">
          <cell r="L82">
            <v>0</v>
          </cell>
          <cell r="O82">
            <v>0</v>
          </cell>
        </row>
        <row r="83">
          <cell r="L83">
            <v>0</v>
          </cell>
          <cell r="O83">
            <v>0</v>
          </cell>
        </row>
        <row r="84">
          <cell r="L84">
            <v>0</v>
          </cell>
          <cell r="O84">
            <v>0</v>
          </cell>
        </row>
        <row r="85">
          <cell r="L85">
            <v>0</v>
          </cell>
          <cell r="O85">
            <v>0</v>
          </cell>
        </row>
        <row r="86">
          <cell r="L86">
            <v>0</v>
          </cell>
          <cell r="O86">
            <v>0</v>
          </cell>
        </row>
        <row r="87">
          <cell r="L87">
            <v>0</v>
          </cell>
          <cell r="O87">
            <v>0</v>
          </cell>
        </row>
        <row r="88">
          <cell r="L88">
            <v>0</v>
          </cell>
          <cell r="O88">
            <v>0</v>
          </cell>
        </row>
        <row r="89">
          <cell r="L89">
            <v>0</v>
          </cell>
          <cell r="O89">
            <v>0</v>
          </cell>
        </row>
        <row r="90">
          <cell r="L90">
            <v>0</v>
          </cell>
          <cell r="O90">
            <v>0</v>
          </cell>
        </row>
        <row r="91">
          <cell r="L91">
            <v>0</v>
          </cell>
          <cell r="O91">
            <v>0</v>
          </cell>
        </row>
        <row r="92">
          <cell r="L92">
            <v>0</v>
          </cell>
          <cell r="O92">
            <v>0</v>
          </cell>
        </row>
        <row r="93">
          <cell r="L93">
            <v>0</v>
          </cell>
          <cell r="O93">
            <v>0</v>
          </cell>
        </row>
        <row r="94">
          <cell r="L94">
            <v>0</v>
          </cell>
          <cell r="O94">
            <v>0</v>
          </cell>
        </row>
        <row r="95">
          <cell r="L95">
            <v>0</v>
          </cell>
          <cell r="O95">
            <v>0</v>
          </cell>
        </row>
        <row r="96">
          <cell r="L96">
            <v>0</v>
          </cell>
          <cell r="O96">
            <v>0</v>
          </cell>
        </row>
        <row r="97">
          <cell r="L97">
            <v>0</v>
          </cell>
          <cell r="O97">
            <v>0</v>
          </cell>
        </row>
        <row r="98">
          <cell r="L98">
            <v>0</v>
          </cell>
          <cell r="O98">
            <v>0</v>
          </cell>
        </row>
        <row r="99">
          <cell r="L99">
            <v>0</v>
          </cell>
          <cell r="O99">
            <v>0</v>
          </cell>
        </row>
        <row r="100">
          <cell r="L100">
            <v>0</v>
          </cell>
          <cell r="O100">
            <v>0</v>
          </cell>
        </row>
        <row r="101">
          <cell r="L101">
            <v>0</v>
          </cell>
          <cell r="O101">
            <v>0</v>
          </cell>
        </row>
        <row r="102">
          <cell r="L102">
            <v>0</v>
          </cell>
          <cell r="O102">
            <v>0</v>
          </cell>
        </row>
        <row r="103">
          <cell r="L103">
            <v>0</v>
          </cell>
          <cell r="O103">
            <v>0</v>
          </cell>
        </row>
        <row r="104">
          <cell r="L104">
            <v>0</v>
          </cell>
          <cell r="O104">
            <v>0</v>
          </cell>
        </row>
        <row r="105">
          <cell r="L105">
            <v>0</v>
          </cell>
          <cell r="O105">
            <v>0</v>
          </cell>
        </row>
        <row r="106">
          <cell r="L106">
            <v>0</v>
          </cell>
          <cell r="O106">
            <v>0</v>
          </cell>
        </row>
        <row r="107">
          <cell r="L107">
            <v>0</v>
          </cell>
          <cell r="O107">
            <v>0</v>
          </cell>
        </row>
        <row r="108">
          <cell r="L108">
            <v>0</v>
          </cell>
          <cell r="O108">
            <v>0</v>
          </cell>
        </row>
        <row r="109">
          <cell r="L109">
            <v>0</v>
          </cell>
          <cell r="O109">
            <v>0</v>
          </cell>
        </row>
        <row r="110">
          <cell r="L110">
            <v>0</v>
          </cell>
          <cell r="O110">
            <v>0</v>
          </cell>
        </row>
        <row r="111">
          <cell r="L111">
            <v>0</v>
          </cell>
          <cell r="O111">
            <v>0</v>
          </cell>
        </row>
        <row r="112">
          <cell r="L112">
            <v>0</v>
          </cell>
          <cell r="O112">
            <v>0</v>
          </cell>
        </row>
        <row r="113">
          <cell r="L113">
            <v>0</v>
          </cell>
          <cell r="O113">
            <v>0</v>
          </cell>
        </row>
        <row r="114">
          <cell r="L114">
            <v>0</v>
          </cell>
          <cell r="O114">
            <v>0</v>
          </cell>
        </row>
        <row r="115">
          <cell r="L115">
            <v>0</v>
          </cell>
          <cell r="O115">
            <v>0</v>
          </cell>
        </row>
        <row r="116">
          <cell r="L116">
            <v>0</v>
          </cell>
          <cell r="O116">
            <v>0</v>
          </cell>
        </row>
        <row r="117">
          <cell r="L117">
            <v>0</v>
          </cell>
          <cell r="O117">
            <v>0</v>
          </cell>
        </row>
        <row r="118">
          <cell r="L118">
            <v>0</v>
          </cell>
          <cell r="O118">
            <v>0</v>
          </cell>
        </row>
        <row r="119">
          <cell r="L119">
            <v>0</v>
          </cell>
          <cell r="O119">
            <v>0</v>
          </cell>
        </row>
        <row r="120">
          <cell r="L120">
            <v>0</v>
          </cell>
          <cell r="O120">
            <v>0</v>
          </cell>
        </row>
        <row r="121">
          <cell r="L121">
            <v>0</v>
          </cell>
          <cell r="O121">
            <v>0</v>
          </cell>
        </row>
        <row r="122">
          <cell r="L122">
            <v>0</v>
          </cell>
          <cell r="O122">
            <v>0</v>
          </cell>
        </row>
        <row r="123">
          <cell r="L123">
            <v>0</v>
          </cell>
          <cell r="O123">
            <v>0</v>
          </cell>
        </row>
        <row r="124">
          <cell r="L124">
            <v>0</v>
          </cell>
          <cell r="O124">
            <v>0</v>
          </cell>
        </row>
        <row r="125">
          <cell r="L125">
            <v>0</v>
          </cell>
          <cell r="O125">
            <v>0</v>
          </cell>
        </row>
        <row r="126">
          <cell r="L126">
            <v>0</v>
          </cell>
          <cell r="O126">
            <v>0</v>
          </cell>
        </row>
        <row r="127">
          <cell r="L127">
            <v>0</v>
          </cell>
          <cell r="O127">
            <v>0</v>
          </cell>
        </row>
        <row r="128">
          <cell r="L128">
            <v>0</v>
          </cell>
          <cell r="O128">
            <v>0</v>
          </cell>
        </row>
        <row r="129">
          <cell r="L129">
            <v>0</v>
          </cell>
          <cell r="O129">
            <v>0</v>
          </cell>
        </row>
        <row r="130">
          <cell r="L130">
            <v>0</v>
          </cell>
          <cell r="O130">
            <v>0</v>
          </cell>
        </row>
        <row r="131">
          <cell r="L131">
            <v>0</v>
          </cell>
          <cell r="O131">
            <v>0</v>
          </cell>
        </row>
        <row r="132">
          <cell r="L132">
            <v>0</v>
          </cell>
          <cell r="O132">
            <v>0</v>
          </cell>
        </row>
        <row r="133">
          <cell r="L133">
            <v>0</v>
          </cell>
          <cell r="O133">
            <v>0</v>
          </cell>
        </row>
        <row r="134">
          <cell r="L134">
            <v>0</v>
          </cell>
          <cell r="O134">
            <v>0</v>
          </cell>
        </row>
        <row r="135">
          <cell r="L135">
            <v>0</v>
          </cell>
          <cell r="O135">
            <v>0</v>
          </cell>
        </row>
        <row r="136">
          <cell r="L136">
            <v>0</v>
          </cell>
          <cell r="O136">
            <v>0</v>
          </cell>
        </row>
        <row r="137">
          <cell r="L137">
            <v>0</v>
          </cell>
          <cell r="O137">
            <v>0</v>
          </cell>
        </row>
        <row r="138">
          <cell r="L138">
            <v>0</v>
          </cell>
          <cell r="O138">
            <v>0</v>
          </cell>
        </row>
        <row r="139">
          <cell r="L139">
            <v>0</v>
          </cell>
          <cell r="O139">
            <v>0</v>
          </cell>
        </row>
        <row r="140">
          <cell r="L140">
            <v>0</v>
          </cell>
          <cell r="O140">
            <v>0</v>
          </cell>
        </row>
        <row r="141">
          <cell r="L141">
            <v>0</v>
          </cell>
          <cell r="O141">
            <v>0</v>
          </cell>
        </row>
        <row r="142">
          <cell r="L142">
            <v>0</v>
          </cell>
          <cell r="O142">
            <v>0</v>
          </cell>
        </row>
        <row r="143">
          <cell r="L143">
            <v>0</v>
          </cell>
          <cell r="O143">
            <v>0</v>
          </cell>
        </row>
        <row r="144">
          <cell r="L144">
            <v>0</v>
          </cell>
          <cell r="O144">
            <v>0</v>
          </cell>
        </row>
        <row r="145">
          <cell r="L145">
            <v>0</v>
          </cell>
          <cell r="O145">
            <v>0</v>
          </cell>
        </row>
        <row r="146">
          <cell r="L146">
            <v>0</v>
          </cell>
          <cell r="O146">
            <v>0</v>
          </cell>
        </row>
        <row r="147">
          <cell r="L147">
            <v>0</v>
          </cell>
          <cell r="O147">
            <v>0</v>
          </cell>
        </row>
        <row r="148">
          <cell r="L148">
            <v>0</v>
          </cell>
          <cell r="O148">
            <v>0</v>
          </cell>
        </row>
        <row r="149">
          <cell r="L149">
            <v>0</v>
          </cell>
          <cell r="O149">
            <v>0</v>
          </cell>
        </row>
        <row r="150">
          <cell r="L150">
            <v>0</v>
          </cell>
          <cell r="O150">
            <v>0</v>
          </cell>
        </row>
        <row r="151">
          <cell r="L151">
            <v>0</v>
          </cell>
          <cell r="O151">
            <v>0</v>
          </cell>
        </row>
        <row r="152">
          <cell r="L152">
            <v>0</v>
          </cell>
          <cell r="O152">
            <v>0</v>
          </cell>
        </row>
        <row r="153">
          <cell r="L153">
            <v>0</v>
          </cell>
          <cell r="O153">
            <v>0</v>
          </cell>
        </row>
        <row r="154">
          <cell r="L154">
            <v>0</v>
          </cell>
          <cell r="O154">
            <v>0</v>
          </cell>
        </row>
        <row r="155">
          <cell r="L155">
            <v>0</v>
          </cell>
          <cell r="O155">
            <v>0</v>
          </cell>
        </row>
        <row r="156">
          <cell r="L156">
            <v>0</v>
          </cell>
          <cell r="O156">
            <v>0</v>
          </cell>
        </row>
        <row r="157">
          <cell r="L157">
            <v>0</v>
          </cell>
          <cell r="O157">
            <v>0</v>
          </cell>
        </row>
        <row r="158">
          <cell r="L158">
            <v>0</v>
          </cell>
          <cell r="O158">
            <v>0</v>
          </cell>
        </row>
        <row r="159">
          <cell r="L159">
            <v>0</v>
          </cell>
          <cell r="O159">
            <v>0</v>
          </cell>
        </row>
        <row r="160">
          <cell r="L160">
            <v>0</v>
          </cell>
          <cell r="O160">
            <v>0</v>
          </cell>
        </row>
        <row r="161">
          <cell r="L161">
            <v>0</v>
          </cell>
          <cell r="O161">
            <v>0</v>
          </cell>
        </row>
        <row r="162">
          <cell r="L162">
            <v>0</v>
          </cell>
          <cell r="O162">
            <v>0</v>
          </cell>
        </row>
        <row r="163">
          <cell r="L163">
            <v>0</v>
          </cell>
          <cell r="O163">
            <v>0</v>
          </cell>
        </row>
        <row r="164">
          <cell r="L164">
            <v>0</v>
          </cell>
          <cell r="O164">
            <v>0</v>
          </cell>
        </row>
        <row r="165">
          <cell r="L165">
            <v>0</v>
          </cell>
          <cell r="O165">
            <v>0</v>
          </cell>
        </row>
        <row r="166">
          <cell r="L166">
            <v>0</v>
          </cell>
          <cell r="O166">
            <v>0</v>
          </cell>
        </row>
        <row r="167">
          <cell r="L167">
            <v>0</v>
          </cell>
          <cell r="O167">
            <v>0</v>
          </cell>
        </row>
        <row r="168">
          <cell r="L168">
            <v>0</v>
          </cell>
          <cell r="O168">
            <v>0</v>
          </cell>
        </row>
        <row r="169">
          <cell r="L169">
            <v>0</v>
          </cell>
          <cell r="O169">
            <v>0</v>
          </cell>
        </row>
        <row r="170">
          <cell r="L170">
            <v>0</v>
          </cell>
          <cell r="O170">
            <v>0</v>
          </cell>
        </row>
        <row r="171">
          <cell r="L171">
            <v>0</v>
          </cell>
          <cell r="O171">
            <v>0</v>
          </cell>
        </row>
        <row r="172">
          <cell r="L172">
            <v>8</v>
          </cell>
          <cell r="O172">
            <v>9999</v>
          </cell>
        </row>
        <row r="173">
          <cell r="L173">
            <v>0</v>
          </cell>
          <cell r="O173">
            <v>0</v>
          </cell>
        </row>
        <row r="174">
          <cell r="L174">
            <v>0</v>
          </cell>
          <cell r="O174">
            <v>0</v>
          </cell>
        </row>
        <row r="175">
          <cell r="L175">
            <v>0</v>
          </cell>
          <cell r="O175">
            <v>0</v>
          </cell>
        </row>
        <row r="176">
          <cell r="L176">
            <v>0</v>
          </cell>
          <cell r="O176">
            <v>0</v>
          </cell>
        </row>
        <row r="177">
          <cell r="L177">
            <v>0</v>
          </cell>
          <cell r="O177">
            <v>0</v>
          </cell>
        </row>
        <row r="178">
          <cell r="L178">
            <v>0</v>
          </cell>
          <cell r="O178">
            <v>0</v>
          </cell>
        </row>
        <row r="179">
          <cell r="L179">
            <v>0</v>
          </cell>
          <cell r="O179">
            <v>0</v>
          </cell>
        </row>
        <row r="180">
          <cell r="L180">
            <v>0</v>
          </cell>
          <cell r="O180">
            <v>0</v>
          </cell>
        </row>
        <row r="181">
          <cell r="L181">
            <v>0</v>
          </cell>
          <cell r="O181">
            <v>0</v>
          </cell>
        </row>
        <row r="182">
          <cell r="L182">
            <v>0</v>
          </cell>
          <cell r="O182">
            <v>0</v>
          </cell>
        </row>
        <row r="183">
          <cell r="L183">
            <v>0</v>
          </cell>
          <cell r="O183">
            <v>0</v>
          </cell>
        </row>
        <row r="184">
          <cell r="L184">
            <v>0</v>
          </cell>
          <cell r="O184">
            <v>0</v>
          </cell>
        </row>
        <row r="185">
          <cell r="L185">
            <v>0</v>
          </cell>
          <cell r="O185">
            <v>0</v>
          </cell>
        </row>
        <row r="186">
          <cell r="L186">
            <v>0</v>
          </cell>
          <cell r="O186">
            <v>0</v>
          </cell>
        </row>
        <row r="187">
          <cell r="L187">
            <v>0</v>
          </cell>
          <cell r="O187">
            <v>0</v>
          </cell>
        </row>
        <row r="188">
          <cell r="L188">
            <v>0</v>
          </cell>
          <cell r="O188">
            <v>0</v>
          </cell>
        </row>
        <row r="189">
          <cell r="L189">
            <v>0</v>
          </cell>
          <cell r="O189">
            <v>0</v>
          </cell>
        </row>
        <row r="190">
          <cell r="L190">
            <v>0</v>
          </cell>
          <cell r="O190">
            <v>0</v>
          </cell>
        </row>
        <row r="191">
          <cell r="L191">
            <v>0</v>
          </cell>
          <cell r="O191">
            <v>0</v>
          </cell>
        </row>
        <row r="192">
          <cell r="L192">
            <v>0</v>
          </cell>
          <cell r="O192">
            <v>0</v>
          </cell>
        </row>
        <row r="193">
          <cell r="L193">
            <v>0</v>
          </cell>
          <cell r="O193">
            <v>0</v>
          </cell>
        </row>
        <row r="194">
          <cell r="L194">
            <v>0</v>
          </cell>
          <cell r="O194">
            <v>0</v>
          </cell>
        </row>
        <row r="195">
          <cell r="L195">
            <v>0</v>
          </cell>
          <cell r="O195">
            <v>0</v>
          </cell>
        </row>
        <row r="196">
          <cell r="L196">
            <v>0</v>
          </cell>
          <cell r="O196">
            <v>0</v>
          </cell>
        </row>
        <row r="197">
          <cell r="L197">
            <v>0</v>
          </cell>
          <cell r="O197">
            <v>0</v>
          </cell>
        </row>
        <row r="198">
          <cell r="L198">
            <v>0</v>
          </cell>
          <cell r="O198">
            <v>0</v>
          </cell>
        </row>
        <row r="199">
          <cell r="L199">
            <v>0</v>
          </cell>
          <cell r="O199">
            <v>0</v>
          </cell>
        </row>
        <row r="200">
          <cell r="L200">
            <v>13</v>
          </cell>
          <cell r="O200">
            <v>9999</v>
          </cell>
        </row>
        <row r="201">
          <cell r="L201">
            <v>0</v>
          </cell>
          <cell r="O201">
            <v>0</v>
          </cell>
        </row>
        <row r="202">
          <cell r="L202">
            <v>0</v>
          </cell>
          <cell r="O202">
            <v>0</v>
          </cell>
        </row>
        <row r="203">
          <cell r="L203">
            <v>0</v>
          </cell>
          <cell r="O203">
            <v>0</v>
          </cell>
        </row>
        <row r="204">
          <cell r="L204">
            <v>0</v>
          </cell>
          <cell r="O204">
            <v>0</v>
          </cell>
        </row>
        <row r="205">
          <cell r="L205">
            <v>0</v>
          </cell>
          <cell r="O205">
            <v>0</v>
          </cell>
        </row>
        <row r="206">
          <cell r="L206">
            <v>0</v>
          </cell>
          <cell r="O206">
            <v>0</v>
          </cell>
        </row>
        <row r="207">
          <cell r="L207">
            <v>0</v>
          </cell>
          <cell r="O207">
            <v>0</v>
          </cell>
        </row>
        <row r="208">
          <cell r="L208">
            <v>0</v>
          </cell>
          <cell r="O208">
            <v>0</v>
          </cell>
        </row>
        <row r="209">
          <cell r="L209">
            <v>0</v>
          </cell>
          <cell r="O209">
            <v>0</v>
          </cell>
        </row>
        <row r="210">
          <cell r="L210">
            <v>0</v>
          </cell>
          <cell r="O210">
            <v>0</v>
          </cell>
        </row>
        <row r="211">
          <cell r="L211">
            <v>0</v>
          </cell>
          <cell r="O211">
            <v>0</v>
          </cell>
        </row>
        <row r="212">
          <cell r="L212">
            <v>0</v>
          </cell>
          <cell r="O212">
            <v>0</v>
          </cell>
        </row>
        <row r="213">
          <cell r="L213">
            <v>0</v>
          </cell>
          <cell r="O213">
            <v>0</v>
          </cell>
        </row>
        <row r="214">
          <cell r="L214">
            <v>0</v>
          </cell>
          <cell r="O214">
            <v>0</v>
          </cell>
        </row>
        <row r="215">
          <cell r="L215">
            <v>0</v>
          </cell>
          <cell r="O215">
            <v>0</v>
          </cell>
        </row>
        <row r="216">
          <cell r="L216">
            <v>0</v>
          </cell>
          <cell r="O216">
            <v>0</v>
          </cell>
        </row>
        <row r="217">
          <cell r="L217">
            <v>0</v>
          </cell>
          <cell r="O217">
            <v>0</v>
          </cell>
        </row>
        <row r="218">
          <cell r="L218">
            <v>0</v>
          </cell>
          <cell r="O218">
            <v>0</v>
          </cell>
        </row>
        <row r="219">
          <cell r="L219">
            <v>0</v>
          </cell>
          <cell r="O219">
            <v>0</v>
          </cell>
        </row>
        <row r="220">
          <cell r="L220">
            <v>0</v>
          </cell>
          <cell r="O220">
            <v>0</v>
          </cell>
        </row>
        <row r="221">
          <cell r="L221">
            <v>0</v>
          </cell>
          <cell r="O221">
            <v>0</v>
          </cell>
        </row>
        <row r="222">
          <cell r="L222">
            <v>0</v>
          </cell>
          <cell r="O222">
            <v>0</v>
          </cell>
        </row>
        <row r="223">
          <cell r="L223">
            <v>0</v>
          </cell>
          <cell r="O223">
            <v>0</v>
          </cell>
        </row>
        <row r="224">
          <cell r="L224">
            <v>0</v>
          </cell>
          <cell r="O224">
            <v>0</v>
          </cell>
        </row>
        <row r="225">
          <cell r="L225">
            <v>0</v>
          </cell>
          <cell r="O225">
            <v>0</v>
          </cell>
        </row>
        <row r="226">
          <cell r="L226">
            <v>0</v>
          </cell>
          <cell r="O226">
            <v>0</v>
          </cell>
        </row>
        <row r="227">
          <cell r="L227">
            <v>0</v>
          </cell>
          <cell r="O227">
            <v>0</v>
          </cell>
        </row>
        <row r="228">
          <cell r="L228">
            <v>0</v>
          </cell>
          <cell r="O228">
            <v>0</v>
          </cell>
        </row>
        <row r="229">
          <cell r="L229">
            <v>0</v>
          </cell>
          <cell r="O229">
            <v>0</v>
          </cell>
        </row>
        <row r="230">
          <cell r="L230">
            <v>0</v>
          </cell>
          <cell r="O230">
            <v>0</v>
          </cell>
        </row>
        <row r="231">
          <cell r="L231">
            <v>0</v>
          </cell>
          <cell r="O231">
            <v>0</v>
          </cell>
        </row>
        <row r="232">
          <cell r="L232">
            <v>0</v>
          </cell>
          <cell r="O232">
            <v>0</v>
          </cell>
        </row>
        <row r="233">
          <cell r="L233">
            <v>0</v>
          </cell>
          <cell r="O233">
            <v>0</v>
          </cell>
        </row>
        <row r="234">
          <cell r="L234">
            <v>0</v>
          </cell>
          <cell r="O234">
            <v>0</v>
          </cell>
        </row>
        <row r="235">
          <cell r="L235">
            <v>0</v>
          </cell>
          <cell r="O235">
            <v>0</v>
          </cell>
        </row>
        <row r="236">
          <cell r="L236">
            <v>0</v>
          </cell>
          <cell r="O236">
            <v>0</v>
          </cell>
        </row>
        <row r="237">
          <cell r="L237">
            <v>0</v>
          </cell>
          <cell r="O237">
            <v>0</v>
          </cell>
        </row>
        <row r="238">
          <cell r="L238">
            <v>0</v>
          </cell>
          <cell r="O238">
            <v>0</v>
          </cell>
        </row>
        <row r="239">
          <cell r="L239">
            <v>0</v>
          </cell>
          <cell r="O239">
            <v>0</v>
          </cell>
        </row>
        <row r="240">
          <cell r="L240">
            <v>0</v>
          </cell>
          <cell r="O240">
            <v>0</v>
          </cell>
        </row>
        <row r="241">
          <cell r="L241">
            <v>0</v>
          </cell>
          <cell r="O241">
            <v>0</v>
          </cell>
        </row>
        <row r="242">
          <cell r="L242">
            <v>0</v>
          </cell>
          <cell r="O242">
            <v>0</v>
          </cell>
        </row>
        <row r="243">
          <cell r="L243">
            <v>0</v>
          </cell>
          <cell r="O243">
            <v>0</v>
          </cell>
        </row>
        <row r="244">
          <cell r="L244">
            <v>0</v>
          </cell>
          <cell r="O244">
            <v>0</v>
          </cell>
        </row>
        <row r="245">
          <cell r="L245">
            <v>0</v>
          </cell>
          <cell r="O245">
            <v>0</v>
          </cell>
        </row>
        <row r="246">
          <cell r="L246">
            <v>0</v>
          </cell>
          <cell r="O246">
            <v>0</v>
          </cell>
        </row>
        <row r="247">
          <cell r="L247">
            <v>0</v>
          </cell>
          <cell r="O247">
            <v>0</v>
          </cell>
        </row>
        <row r="248">
          <cell r="L248">
            <v>0</v>
          </cell>
          <cell r="O248">
            <v>0</v>
          </cell>
        </row>
        <row r="249">
          <cell r="L249">
            <v>0</v>
          </cell>
          <cell r="O249">
            <v>0</v>
          </cell>
        </row>
        <row r="250">
          <cell r="L250">
            <v>0</v>
          </cell>
          <cell r="O250">
            <v>0</v>
          </cell>
        </row>
        <row r="251">
          <cell r="L251">
            <v>0</v>
          </cell>
          <cell r="O251">
            <v>0</v>
          </cell>
        </row>
        <row r="252">
          <cell r="L252">
            <v>0</v>
          </cell>
          <cell r="O252">
            <v>0</v>
          </cell>
        </row>
        <row r="253">
          <cell r="L253">
            <v>0</v>
          </cell>
          <cell r="O253">
            <v>0</v>
          </cell>
        </row>
        <row r="254">
          <cell r="L254">
            <v>0</v>
          </cell>
          <cell r="O254">
            <v>0</v>
          </cell>
        </row>
        <row r="255">
          <cell r="L255">
            <v>0</v>
          </cell>
          <cell r="O255">
            <v>0</v>
          </cell>
        </row>
        <row r="256">
          <cell r="L256">
            <v>0</v>
          </cell>
          <cell r="O256">
            <v>0</v>
          </cell>
        </row>
        <row r="257">
          <cell r="L257">
            <v>0</v>
          </cell>
          <cell r="O257">
            <v>0</v>
          </cell>
        </row>
        <row r="258">
          <cell r="L258">
            <v>0</v>
          </cell>
          <cell r="O258">
            <v>0</v>
          </cell>
        </row>
        <row r="259">
          <cell r="L259">
            <v>0</v>
          </cell>
          <cell r="O259">
            <v>0</v>
          </cell>
        </row>
        <row r="260">
          <cell r="L260">
            <v>0</v>
          </cell>
          <cell r="O260">
            <v>0</v>
          </cell>
        </row>
        <row r="261">
          <cell r="L261">
            <v>0</v>
          </cell>
          <cell r="O261">
            <v>0</v>
          </cell>
        </row>
        <row r="262">
          <cell r="L262">
            <v>0</v>
          </cell>
          <cell r="O262">
            <v>0</v>
          </cell>
        </row>
        <row r="263">
          <cell r="L263">
            <v>0</v>
          </cell>
          <cell r="O263">
            <v>0</v>
          </cell>
        </row>
        <row r="264">
          <cell r="L264">
            <v>0</v>
          </cell>
          <cell r="O264">
            <v>0</v>
          </cell>
        </row>
        <row r="265">
          <cell r="L265">
            <v>0</v>
          </cell>
          <cell r="O265">
            <v>0</v>
          </cell>
        </row>
        <row r="266">
          <cell r="L266">
            <v>0</v>
          </cell>
          <cell r="O266">
            <v>0</v>
          </cell>
        </row>
        <row r="267">
          <cell r="L267">
            <v>0</v>
          </cell>
          <cell r="O267">
            <v>0</v>
          </cell>
        </row>
        <row r="268">
          <cell r="L268">
            <v>0</v>
          </cell>
          <cell r="O268">
            <v>0</v>
          </cell>
        </row>
        <row r="269">
          <cell r="L269">
            <v>0</v>
          </cell>
          <cell r="O269">
            <v>0</v>
          </cell>
        </row>
        <row r="270">
          <cell r="L270">
            <v>0</v>
          </cell>
          <cell r="O270">
            <v>0</v>
          </cell>
        </row>
        <row r="271">
          <cell r="L271">
            <v>253</v>
          </cell>
          <cell r="O271">
            <v>9999</v>
          </cell>
        </row>
        <row r="272">
          <cell r="L272">
            <v>0</v>
          </cell>
          <cell r="O272">
            <v>0</v>
          </cell>
        </row>
        <row r="273">
          <cell r="L273">
            <v>0</v>
          </cell>
          <cell r="O273">
            <v>0</v>
          </cell>
        </row>
        <row r="274">
          <cell r="L274">
            <v>0</v>
          </cell>
          <cell r="O274">
            <v>0</v>
          </cell>
        </row>
        <row r="275">
          <cell r="L275">
            <v>0</v>
          </cell>
          <cell r="O275">
            <v>0</v>
          </cell>
        </row>
        <row r="276">
          <cell r="L276">
            <v>0</v>
          </cell>
          <cell r="O276">
            <v>0</v>
          </cell>
        </row>
        <row r="277">
          <cell r="L277">
            <v>0</v>
          </cell>
          <cell r="O277">
            <v>0</v>
          </cell>
        </row>
        <row r="278">
          <cell r="L278">
            <v>0</v>
          </cell>
          <cell r="O278">
            <v>0</v>
          </cell>
        </row>
        <row r="279">
          <cell r="L279">
            <v>0</v>
          </cell>
          <cell r="O279">
            <v>0</v>
          </cell>
        </row>
        <row r="280">
          <cell r="L280">
            <v>0</v>
          </cell>
          <cell r="O280">
            <v>0</v>
          </cell>
        </row>
        <row r="281">
          <cell r="L281">
            <v>0</v>
          </cell>
          <cell r="O281">
            <v>0</v>
          </cell>
        </row>
        <row r="282">
          <cell r="L282">
            <v>0</v>
          </cell>
          <cell r="O282">
            <v>0</v>
          </cell>
        </row>
        <row r="283">
          <cell r="L283">
            <v>0</v>
          </cell>
          <cell r="O283">
            <v>0</v>
          </cell>
        </row>
        <row r="284">
          <cell r="L284">
            <v>0</v>
          </cell>
          <cell r="O284">
            <v>0</v>
          </cell>
        </row>
        <row r="285">
          <cell r="L285">
            <v>0</v>
          </cell>
          <cell r="O285">
            <v>0</v>
          </cell>
        </row>
        <row r="286">
          <cell r="L286">
            <v>0</v>
          </cell>
          <cell r="O286">
            <v>0</v>
          </cell>
        </row>
        <row r="287">
          <cell r="L287">
            <v>0</v>
          </cell>
          <cell r="O287">
            <v>0</v>
          </cell>
        </row>
        <row r="288">
          <cell r="L288">
            <v>0</v>
          </cell>
          <cell r="O288">
            <v>0</v>
          </cell>
        </row>
        <row r="289">
          <cell r="L289">
            <v>0</v>
          </cell>
          <cell r="O289">
            <v>0</v>
          </cell>
        </row>
        <row r="290">
          <cell r="L290">
            <v>0</v>
          </cell>
          <cell r="O290">
            <v>0</v>
          </cell>
        </row>
        <row r="291">
          <cell r="L291">
            <v>0</v>
          </cell>
          <cell r="O291">
            <v>0</v>
          </cell>
        </row>
        <row r="292">
          <cell r="L292">
            <v>0</v>
          </cell>
          <cell r="O292">
            <v>0</v>
          </cell>
        </row>
        <row r="293">
          <cell r="L293">
            <v>0</v>
          </cell>
          <cell r="O293">
            <v>0</v>
          </cell>
        </row>
        <row r="294">
          <cell r="L294">
            <v>0</v>
          </cell>
          <cell r="O294">
            <v>0</v>
          </cell>
        </row>
        <row r="295">
          <cell r="L295">
            <v>0</v>
          </cell>
          <cell r="O295">
            <v>0</v>
          </cell>
        </row>
        <row r="296">
          <cell r="L296">
            <v>0</v>
          </cell>
          <cell r="O296">
            <v>0</v>
          </cell>
        </row>
        <row r="297">
          <cell r="L297">
            <v>0</v>
          </cell>
          <cell r="O297">
            <v>0</v>
          </cell>
        </row>
        <row r="298">
          <cell r="L298">
            <v>0</v>
          </cell>
          <cell r="O298">
            <v>0</v>
          </cell>
        </row>
        <row r="299">
          <cell r="L299">
            <v>0</v>
          </cell>
          <cell r="O299">
            <v>0</v>
          </cell>
        </row>
        <row r="300">
          <cell r="L300">
            <v>0</v>
          </cell>
          <cell r="O300">
            <v>0</v>
          </cell>
        </row>
        <row r="301">
          <cell r="L301">
            <v>0</v>
          </cell>
          <cell r="O301">
            <v>0</v>
          </cell>
        </row>
        <row r="302">
          <cell r="L302">
            <v>0</v>
          </cell>
          <cell r="O302">
            <v>0</v>
          </cell>
        </row>
        <row r="303">
          <cell r="L303">
            <v>0</v>
          </cell>
          <cell r="O303">
            <v>0</v>
          </cell>
        </row>
        <row r="304">
          <cell r="L304">
            <v>0</v>
          </cell>
          <cell r="O304">
            <v>0</v>
          </cell>
        </row>
        <row r="305">
          <cell r="L305">
            <v>0</v>
          </cell>
          <cell r="O305">
            <v>0</v>
          </cell>
        </row>
        <row r="306">
          <cell r="L306">
            <v>0</v>
          </cell>
          <cell r="O306">
            <v>0</v>
          </cell>
        </row>
        <row r="307">
          <cell r="L307">
            <v>0</v>
          </cell>
          <cell r="O307">
            <v>0</v>
          </cell>
        </row>
        <row r="308">
          <cell r="L308">
            <v>0</v>
          </cell>
          <cell r="O308">
            <v>0</v>
          </cell>
        </row>
        <row r="309">
          <cell r="L309">
            <v>0</v>
          </cell>
          <cell r="O309">
            <v>0</v>
          </cell>
        </row>
        <row r="310">
          <cell r="L310">
            <v>0</v>
          </cell>
          <cell r="O310">
            <v>0</v>
          </cell>
        </row>
        <row r="311">
          <cell r="L311">
            <v>0</v>
          </cell>
          <cell r="O311">
            <v>0</v>
          </cell>
        </row>
        <row r="312">
          <cell r="L312">
            <v>0</v>
          </cell>
          <cell r="O312">
            <v>0</v>
          </cell>
        </row>
        <row r="313">
          <cell r="L313">
            <v>68</v>
          </cell>
          <cell r="O313">
            <v>9999</v>
          </cell>
        </row>
        <row r="314">
          <cell r="L314">
            <v>0</v>
          </cell>
          <cell r="O314">
            <v>0</v>
          </cell>
        </row>
        <row r="315">
          <cell r="L315">
            <v>0</v>
          </cell>
          <cell r="O315">
            <v>0</v>
          </cell>
        </row>
        <row r="316">
          <cell r="L316">
            <v>0</v>
          </cell>
          <cell r="O316">
            <v>0</v>
          </cell>
        </row>
        <row r="317">
          <cell r="L317">
            <v>0</v>
          </cell>
          <cell r="O317">
            <v>0</v>
          </cell>
        </row>
        <row r="318">
          <cell r="L318">
            <v>0</v>
          </cell>
          <cell r="O318">
            <v>0</v>
          </cell>
        </row>
        <row r="319">
          <cell r="L319">
            <v>0</v>
          </cell>
          <cell r="O319">
            <v>0</v>
          </cell>
        </row>
        <row r="320">
          <cell r="L320">
            <v>0</v>
          </cell>
          <cell r="O320">
            <v>0</v>
          </cell>
        </row>
        <row r="321">
          <cell r="L321">
            <v>0</v>
          </cell>
          <cell r="O321">
            <v>0</v>
          </cell>
        </row>
        <row r="322">
          <cell r="L322">
            <v>0</v>
          </cell>
          <cell r="O322">
            <v>0</v>
          </cell>
        </row>
        <row r="323">
          <cell r="L323">
            <v>0</v>
          </cell>
          <cell r="O323">
            <v>0</v>
          </cell>
        </row>
        <row r="324">
          <cell r="L324">
            <v>0</v>
          </cell>
          <cell r="O324">
            <v>0</v>
          </cell>
        </row>
        <row r="325">
          <cell r="L325">
            <v>0</v>
          </cell>
          <cell r="O325">
            <v>0</v>
          </cell>
        </row>
        <row r="326">
          <cell r="L326">
            <v>0</v>
          </cell>
          <cell r="O326">
            <v>0</v>
          </cell>
        </row>
        <row r="327">
          <cell r="L327">
            <v>0</v>
          </cell>
          <cell r="O327">
            <v>0</v>
          </cell>
        </row>
        <row r="328">
          <cell r="L328">
            <v>0</v>
          </cell>
          <cell r="O328">
            <v>0</v>
          </cell>
        </row>
        <row r="329">
          <cell r="L329">
            <v>0</v>
          </cell>
          <cell r="O329">
            <v>0</v>
          </cell>
        </row>
        <row r="330">
          <cell r="L330">
            <v>0</v>
          </cell>
          <cell r="O330">
            <v>0</v>
          </cell>
        </row>
        <row r="331">
          <cell r="L331">
            <v>0</v>
          </cell>
          <cell r="O331">
            <v>0</v>
          </cell>
        </row>
        <row r="332">
          <cell r="L332">
            <v>0</v>
          </cell>
          <cell r="O332">
            <v>0</v>
          </cell>
        </row>
        <row r="333">
          <cell r="L333">
            <v>0</v>
          </cell>
          <cell r="O333">
            <v>0</v>
          </cell>
        </row>
        <row r="334">
          <cell r="L334">
            <v>0</v>
          </cell>
          <cell r="O334">
            <v>0</v>
          </cell>
        </row>
        <row r="335">
          <cell r="L335">
            <v>0</v>
          </cell>
          <cell r="O335">
            <v>0</v>
          </cell>
        </row>
        <row r="336">
          <cell r="L336">
            <v>0</v>
          </cell>
          <cell r="O336">
            <v>0</v>
          </cell>
        </row>
        <row r="337">
          <cell r="L337">
            <v>653</v>
          </cell>
          <cell r="O337">
            <v>9999</v>
          </cell>
        </row>
        <row r="338">
          <cell r="L338">
            <v>0</v>
          </cell>
          <cell r="O338">
            <v>0</v>
          </cell>
        </row>
        <row r="339">
          <cell r="L339">
            <v>0</v>
          </cell>
          <cell r="O339">
            <v>0</v>
          </cell>
        </row>
        <row r="340">
          <cell r="L340">
            <v>0</v>
          </cell>
          <cell r="O340">
            <v>0</v>
          </cell>
        </row>
        <row r="341">
          <cell r="L341">
            <v>0</v>
          </cell>
          <cell r="O341">
            <v>0</v>
          </cell>
        </row>
        <row r="342">
          <cell r="L342">
            <v>0</v>
          </cell>
          <cell r="O342">
            <v>0</v>
          </cell>
        </row>
        <row r="343">
          <cell r="L343">
            <v>0</v>
          </cell>
          <cell r="O343">
            <v>0</v>
          </cell>
        </row>
        <row r="344">
          <cell r="L344">
            <v>0</v>
          </cell>
          <cell r="O344">
            <v>0</v>
          </cell>
        </row>
        <row r="345">
          <cell r="L345">
            <v>0</v>
          </cell>
          <cell r="O345">
            <v>0</v>
          </cell>
        </row>
        <row r="346">
          <cell r="L346">
            <v>0</v>
          </cell>
          <cell r="O346">
            <v>0</v>
          </cell>
        </row>
        <row r="347">
          <cell r="L347">
            <v>0</v>
          </cell>
          <cell r="O347">
            <v>0</v>
          </cell>
        </row>
        <row r="348">
          <cell r="L348">
            <v>0</v>
          </cell>
          <cell r="O348">
            <v>0</v>
          </cell>
        </row>
        <row r="349">
          <cell r="L349">
            <v>0</v>
          </cell>
          <cell r="O349">
            <v>0</v>
          </cell>
        </row>
        <row r="350">
          <cell r="L350">
            <v>0</v>
          </cell>
          <cell r="O350">
            <v>0</v>
          </cell>
        </row>
        <row r="351">
          <cell r="L351">
            <v>0</v>
          </cell>
          <cell r="O351">
            <v>0</v>
          </cell>
        </row>
        <row r="352">
          <cell r="L352">
            <v>0</v>
          </cell>
          <cell r="O352">
            <v>0</v>
          </cell>
        </row>
        <row r="353">
          <cell r="L353">
            <v>0</v>
          </cell>
          <cell r="O353">
            <v>0</v>
          </cell>
        </row>
        <row r="354">
          <cell r="L354">
            <v>0</v>
          </cell>
          <cell r="O354">
            <v>0</v>
          </cell>
        </row>
        <row r="355">
          <cell r="L355">
            <v>0</v>
          </cell>
          <cell r="O355">
            <v>0</v>
          </cell>
        </row>
        <row r="356">
          <cell r="L356">
            <v>0</v>
          </cell>
          <cell r="O356">
            <v>0</v>
          </cell>
        </row>
        <row r="357">
          <cell r="L357">
            <v>0</v>
          </cell>
          <cell r="O357">
            <v>0</v>
          </cell>
        </row>
        <row r="358">
          <cell r="L358">
            <v>0</v>
          </cell>
          <cell r="O358">
            <v>0</v>
          </cell>
        </row>
        <row r="359">
          <cell r="L359">
            <v>0</v>
          </cell>
          <cell r="O359">
            <v>0</v>
          </cell>
        </row>
        <row r="360">
          <cell r="L360">
            <v>0</v>
          </cell>
          <cell r="O360">
            <v>0</v>
          </cell>
        </row>
        <row r="361">
          <cell r="L361">
            <v>0</v>
          </cell>
          <cell r="O361">
            <v>0</v>
          </cell>
        </row>
        <row r="362">
          <cell r="L362">
            <v>0</v>
          </cell>
          <cell r="O362">
            <v>0</v>
          </cell>
        </row>
        <row r="363">
          <cell r="L363">
            <v>0</v>
          </cell>
          <cell r="O363">
            <v>0</v>
          </cell>
        </row>
        <row r="364">
          <cell r="L364">
            <v>238</v>
          </cell>
          <cell r="O364">
            <v>9999</v>
          </cell>
        </row>
        <row r="365">
          <cell r="L365">
            <v>0</v>
          </cell>
          <cell r="O365">
            <v>0</v>
          </cell>
        </row>
        <row r="366">
          <cell r="L366">
            <v>0</v>
          </cell>
          <cell r="O366">
            <v>0</v>
          </cell>
        </row>
        <row r="367">
          <cell r="L367">
            <v>0</v>
          </cell>
          <cell r="O367">
            <v>0</v>
          </cell>
        </row>
        <row r="368">
          <cell r="L368">
            <v>0</v>
          </cell>
          <cell r="O368">
            <v>0</v>
          </cell>
        </row>
        <row r="369">
          <cell r="L369">
            <v>0</v>
          </cell>
          <cell r="O369">
            <v>0</v>
          </cell>
        </row>
        <row r="370">
          <cell r="L370">
            <v>0</v>
          </cell>
          <cell r="O370">
            <v>0</v>
          </cell>
        </row>
        <row r="371">
          <cell r="L371">
            <v>0</v>
          </cell>
          <cell r="O371">
            <v>0</v>
          </cell>
        </row>
        <row r="372">
          <cell r="L372">
            <v>0</v>
          </cell>
          <cell r="O372">
            <v>0</v>
          </cell>
        </row>
        <row r="373">
          <cell r="L373">
            <v>0</v>
          </cell>
          <cell r="O373">
            <v>0</v>
          </cell>
        </row>
        <row r="374">
          <cell r="L374">
            <v>0</v>
          </cell>
          <cell r="O374">
            <v>0</v>
          </cell>
        </row>
        <row r="375">
          <cell r="L375">
            <v>0</v>
          </cell>
          <cell r="O375">
            <v>0</v>
          </cell>
        </row>
        <row r="376">
          <cell r="L376">
            <v>0</v>
          </cell>
          <cell r="O376">
            <v>0</v>
          </cell>
        </row>
        <row r="377">
          <cell r="L377">
            <v>0</v>
          </cell>
          <cell r="O377">
            <v>0</v>
          </cell>
        </row>
        <row r="378">
          <cell r="L378">
            <v>0</v>
          </cell>
          <cell r="O378">
            <v>0</v>
          </cell>
        </row>
        <row r="379">
          <cell r="L379">
            <v>0</v>
          </cell>
          <cell r="O379">
            <v>0</v>
          </cell>
        </row>
        <row r="380">
          <cell r="L380">
            <v>0</v>
          </cell>
          <cell r="O380">
            <v>0</v>
          </cell>
        </row>
        <row r="381">
          <cell r="L381">
            <v>0</v>
          </cell>
          <cell r="O381">
            <v>0</v>
          </cell>
        </row>
        <row r="382">
          <cell r="L382">
            <v>0</v>
          </cell>
          <cell r="O382">
            <v>0</v>
          </cell>
        </row>
        <row r="383">
          <cell r="L383">
            <v>0</v>
          </cell>
          <cell r="O383">
            <v>0</v>
          </cell>
        </row>
        <row r="384">
          <cell r="L384">
            <v>0</v>
          </cell>
          <cell r="O384">
            <v>0</v>
          </cell>
        </row>
        <row r="385">
          <cell r="L385">
            <v>0</v>
          </cell>
          <cell r="O385">
            <v>0</v>
          </cell>
        </row>
        <row r="386">
          <cell r="L386">
            <v>0</v>
          </cell>
          <cell r="O386">
            <v>0</v>
          </cell>
        </row>
        <row r="387">
          <cell r="L387">
            <v>0</v>
          </cell>
          <cell r="O387">
            <v>0</v>
          </cell>
        </row>
        <row r="388">
          <cell r="L388">
            <v>0</v>
          </cell>
          <cell r="O388">
            <v>0</v>
          </cell>
        </row>
        <row r="389">
          <cell r="L389">
            <v>0</v>
          </cell>
          <cell r="O389">
            <v>0</v>
          </cell>
        </row>
        <row r="390">
          <cell r="L390">
            <v>0</v>
          </cell>
          <cell r="O390">
            <v>0</v>
          </cell>
        </row>
        <row r="391">
          <cell r="L391">
            <v>0</v>
          </cell>
          <cell r="O391">
            <v>0</v>
          </cell>
        </row>
        <row r="392">
          <cell r="L392">
            <v>0</v>
          </cell>
          <cell r="O392">
            <v>0</v>
          </cell>
        </row>
        <row r="393">
          <cell r="L393">
            <v>0</v>
          </cell>
          <cell r="O393">
            <v>0</v>
          </cell>
        </row>
        <row r="394">
          <cell r="L394">
            <v>0</v>
          </cell>
          <cell r="O394">
            <v>0</v>
          </cell>
        </row>
        <row r="395">
          <cell r="L395">
            <v>0</v>
          </cell>
          <cell r="O395">
            <v>0</v>
          </cell>
        </row>
        <row r="396">
          <cell r="L396">
            <v>0</v>
          </cell>
          <cell r="O396">
            <v>0</v>
          </cell>
        </row>
        <row r="397">
          <cell r="L397">
            <v>0</v>
          </cell>
          <cell r="O397">
            <v>0</v>
          </cell>
        </row>
        <row r="398">
          <cell r="L398">
            <v>0</v>
          </cell>
          <cell r="O398">
            <v>0</v>
          </cell>
        </row>
        <row r="399">
          <cell r="L399">
            <v>0</v>
          </cell>
          <cell r="O399">
            <v>0</v>
          </cell>
        </row>
        <row r="400">
          <cell r="L400">
            <v>0</v>
          </cell>
          <cell r="O400">
            <v>0</v>
          </cell>
        </row>
        <row r="401">
          <cell r="L401">
            <v>0</v>
          </cell>
          <cell r="O401">
            <v>0</v>
          </cell>
        </row>
        <row r="402">
          <cell r="L402">
            <v>0</v>
          </cell>
          <cell r="O402">
            <v>0</v>
          </cell>
        </row>
        <row r="403">
          <cell r="L403">
            <v>0</v>
          </cell>
          <cell r="O403">
            <v>0</v>
          </cell>
        </row>
        <row r="404">
          <cell r="L404">
            <v>0</v>
          </cell>
          <cell r="O404">
            <v>0</v>
          </cell>
        </row>
        <row r="405">
          <cell r="L405">
            <v>0</v>
          </cell>
          <cell r="O405">
            <v>0</v>
          </cell>
        </row>
        <row r="406">
          <cell r="L406">
            <v>0</v>
          </cell>
          <cell r="O406">
            <v>0</v>
          </cell>
        </row>
        <row r="407">
          <cell r="L407">
            <v>0</v>
          </cell>
          <cell r="O407">
            <v>0</v>
          </cell>
        </row>
        <row r="408">
          <cell r="L408">
            <v>0</v>
          </cell>
          <cell r="O408">
            <v>0</v>
          </cell>
        </row>
        <row r="409">
          <cell r="L409">
            <v>0</v>
          </cell>
          <cell r="O409">
            <v>0</v>
          </cell>
        </row>
        <row r="410">
          <cell r="L410">
            <v>0</v>
          </cell>
          <cell r="O410">
            <v>0</v>
          </cell>
        </row>
        <row r="411">
          <cell r="L411">
            <v>0</v>
          </cell>
          <cell r="O411">
            <v>0</v>
          </cell>
        </row>
        <row r="412">
          <cell r="L412">
            <v>0</v>
          </cell>
          <cell r="O412">
            <v>0</v>
          </cell>
        </row>
        <row r="413">
          <cell r="L413">
            <v>0</v>
          </cell>
          <cell r="O413">
            <v>0</v>
          </cell>
        </row>
        <row r="414">
          <cell r="L414">
            <v>0</v>
          </cell>
          <cell r="O414">
            <v>0</v>
          </cell>
        </row>
        <row r="415">
          <cell r="L415">
            <v>0</v>
          </cell>
          <cell r="O415">
            <v>0</v>
          </cell>
        </row>
        <row r="416">
          <cell r="L416">
            <v>0</v>
          </cell>
          <cell r="O416">
            <v>0</v>
          </cell>
        </row>
        <row r="417">
          <cell r="L417">
            <v>0</v>
          </cell>
          <cell r="O417">
            <v>0</v>
          </cell>
        </row>
        <row r="418">
          <cell r="L418">
            <v>0</v>
          </cell>
          <cell r="O418">
            <v>0</v>
          </cell>
        </row>
        <row r="419">
          <cell r="L419">
            <v>0</v>
          </cell>
          <cell r="O419">
            <v>0</v>
          </cell>
        </row>
        <row r="420">
          <cell r="L420">
            <v>0</v>
          </cell>
          <cell r="O420">
            <v>0</v>
          </cell>
        </row>
        <row r="421">
          <cell r="L421">
            <v>0</v>
          </cell>
          <cell r="O421">
            <v>0</v>
          </cell>
        </row>
        <row r="422">
          <cell r="L422">
            <v>0</v>
          </cell>
          <cell r="O422">
            <v>0</v>
          </cell>
        </row>
        <row r="423">
          <cell r="L423">
            <v>0</v>
          </cell>
          <cell r="O423">
            <v>0</v>
          </cell>
        </row>
        <row r="424">
          <cell r="L424">
            <v>0</v>
          </cell>
          <cell r="O424">
            <v>0</v>
          </cell>
        </row>
        <row r="425">
          <cell r="L425">
            <v>0</v>
          </cell>
          <cell r="O425">
            <v>0</v>
          </cell>
        </row>
        <row r="426">
          <cell r="L426">
            <v>0</v>
          </cell>
          <cell r="O426">
            <v>0</v>
          </cell>
        </row>
        <row r="427">
          <cell r="L427">
            <v>0</v>
          </cell>
          <cell r="O427">
            <v>0</v>
          </cell>
        </row>
        <row r="428">
          <cell r="L428">
            <v>0</v>
          </cell>
          <cell r="O428">
            <v>0</v>
          </cell>
        </row>
        <row r="429">
          <cell r="L429">
            <v>0</v>
          </cell>
          <cell r="O429">
            <v>0</v>
          </cell>
        </row>
        <row r="430">
          <cell r="L430">
            <v>0</v>
          </cell>
          <cell r="O430">
            <v>0</v>
          </cell>
        </row>
        <row r="431">
          <cell r="L431">
            <v>0</v>
          </cell>
          <cell r="O431">
            <v>0</v>
          </cell>
        </row>
        <row r="432">
          <cell r="L432">
            <v>0</v>
          </cell>
          <cell r="O432">
            <v>0</v>
          </cell>
        </row>
        <row r="433">
          <cell r="L433">
            <v>0</v>
          </cell>
          <cell r="O433">
            <v>0</v>
          </cell>
        </row>
        <row r="434">
          <cell r="L434">
            <v>0</v>
          </cell>
          <cell r="O434">
            <v>0</v>
          </cell>
        </row>
        <row r="435">
          <cell r="L435">
            <v>0</v>
          </cell>
          <cell r="O435">
            <v>0</v>
          </cell>
        </row>
        <row r="436">
          <cell r="L436">
            <v>0</v>
          </cell>
          <cell r="O436">
            <v>0</v>
          </cell>
        </row>
        <row r="437">
          <cell r="L437">
            <v>0</v>
          </cell>
          <cell r="O437">
            <v>0</v>
          </cell>
        </row>
        <row r="438">
          <cell r="L438">
            <v>0</v>
          </cell>
          <cell r="O438">
            <v>0</v>
          </cell>
        </row>
        <row r="439">
          <cell r="L439">
            <v>0</v>
          </cell>
          <cell r="O439">
            <v>0</v>
          </cell>
        </row>
        <row r="440">
          <cell r="L440">
            <v>0</v>
          </cell>
          <cell r="O440">
            <v>0</v>
          </cell>
        </row>
        <row r="441">
          <cell r="L441">
            <v>0</v>
          </cell>
          <cell r="O441">
            <v>0</v>
          </cell>
        </row>
        <row r="442">
          <cell r="L442">
            <v>0</v>
          </cell>
          <cell r="O442">
            <v>0</v>
          </cell>
        </row>
        <row r="443">
          <cell r="L443">
            <v>0</v>
          </cell>
          <cell r="O443">
            <v>0</v>
          </cell>
        </row>
        <row r="444">
          <cell r="L444">
            <v>0</v>
          </cell>
          <cell r="O444">
            <v>0</v>
          </cell>
        </row>
        <row r="445">
          <cell r="L445">
            <v>204</v>
          </cell>
          <cell r="O445">
            <v>9999</v>
          </cell>
        </row>
        <row r="446">
          <cell r="L446">
            <v>0</v>
          </cell>
          <cell r="O446">
            <v>0</v>
          </cell>
        </row>
        <row r="447">
          <cell r="L447">
            <v>0</v>
          </cell>
          <cell r="O447">
            <v>0</v>
          </cell>
        </row>
        <row r="448">
          <cell r="L448">
            <v>0</v>
          </cell>
          <cell r="O448">
            <v>0</v>
          </cell>
        </row>
        <row r="449">
          <cell r="L449">
            <v>0</v>
          </cell>
          <cell r="O449">
            <v>0</v>
          </cell>
        </row>
        <row r="450">
          <cell r="L450">
            <v>0</v>
          </cell>
          <cell r="O450">
            <v>0</v>
          </cell>
        </row>
        <row r="451">
          <cell r="L451">
            <v>0</v>
          </cell>
          <cell r="O451">
            <v>0</v>
          </cell>
        </row>
        <row r="452">
          <cell r="L452">
            <v>0</v>
          </cell>
          <cell r="O452">
            <v>0</v>
          </cell>
        </row>
        <row r="453">
          <cell r="L453">
            <v>0</v>
          </cell>
          <cell r="O453">
            <v>0</v>
          </cell>
        </row>
        <row r="454">
          <cell r="L454">
            <v>0</v>
          </cell>
          <cell r="O454">
            <v>0</v>
          </cell>
        </row>
        <row r="455">
          <cell r="L455">
            <v>0</v>
          </cell>
          <cell r="O455">
            <v>0</v>
          </cell>
        </row>
        <row r="456">
          <cell r="L456">
            <v>0</v>
          </cell>
          <cell r="O456">
            <v>0</v>
          </cell>
        </row>
        <row r="457">
          <cell r="L457">
            <v>0</v>
          </cell>
          <cell r="O457">
            <v>0</v>
          </cell>
        </row>
        <row r="458">
          <cell r="L458">
            <v>0</v>
          </cell>
          <cell r="O458">
            <v>0</v>
          </cell>
        </row>
        <row r="459">
          <cell r="L459">
            <v>0</v>
          </cell>
          <cell r="O459">
            <v>0</v>
          </cell>
        </row>
        <row r="460">
          <cell r="L460">
            <v>0</v>
          </cell>
          <cell r="O460">
            <v>0</v>
          </cell>
        </row>
        <row r="461">
          <cell r="L461">
            <v>0</v>
          </cell>
          <cell r="O461">
            <v>0</v>
          </cell>
        </row>
        <row r="462">
          <cell r="L462">
            <v>0</v>
          </cell>
          <cell r="O462">
            <v>0</v>
          </cell>
        </row>
        <row r="463">
          <cell r="L463">
            <v>0</v>
          </cell>
          <cell r="O463">
            <v>0</v>
          </cell>
        </row>
        <row r="464">
          <cell r="L464">
            <v>0</v>
          </cell>
          <cell r="O464">
            <v>0</v>
          </cell>
        </row>
        <row r="465">
          <cell r="L465">
            <v>0</v>
          </cell>
          <cell r="O465">
            <v>0</v>
          </cell>
        </row>
        <row r="466">
          <cell r="L466">
            <v>0</v>
          </cell>
          <cell r="O466">
            <v>0</v>
          </cell>
        </row>
        <row r="467">
          <cell r="L467">
            <v>0</v>
          </cell>
          <cell r="O467">
            <v>0</v>
          </cell>
        </row>
        <row r="468">
          <cell r="L468">
            <v>0</v>
          </cell>
          <cell r="O468">
            <v>0</v>
          </cell>
        </row>
        <row r="469">
          <cell r="L469">
            <v>0</v>
          </cell>
          <cell r="O469">
            <v>0</v>
          </cell>
        </row>
        <row r="470">
          <cell r="L470">
            <v>0</v>
          </cell>
          <cell r="O470">
            <v>0</v>
          </cell>
        </row>
        <row r="471">
          <cell r="L471">
            <v>0</v>
          </cell>
          <cell r="O471">
            <v>0</v>
          </cell>
        </row>
        <row r="472">
          <cell r="L472">
            <v>0</v>
          </cell>
          <cell r="O472">
            <v>0</v>
          </cell>
        </row>
        <row r="473">
          <cell r="L473">
            <v>0</v>
          </cell>
          <cell r="O473">
            <v>0</v>
          </cell>
        </row>
        <row r="474">
          <cell r="L474">
            <v>0</v>
          </cell>
          <cell r="O474">
            <v>0</v>
          </cell>
        </row>
        <row r="475">
          <cell r="L475">
            <v>0</v>
          </cell>
          <cell r="O475">
            <v>0</v>
          </cell>
        </row>
        <row r="476">
          <cell r="L476">
            <v>554</v>
          </cell>
          <cell r="O476">
            <v>9999</v>
          </cell>
        </row>
        <row r="477">
          <cell r="L477">
            <v>0</v>
          </cell>
          <cell r="O477">
            <v>0</v>
          </cell>
        </row>
        <row r="478">
          <cell r="L478">
            <v>0</v>
          </cell>
          <cell r="O478">
            <v>0</v>
          </cell>
        </row>
        <row r="479">
          <cell r="L479">
            <v>0</v>
          </cell>
          <cell r="O479">
            <v>0</v>
          </cell>
        </row>
        <row r="480">
          <cell r="L480">
            <v>0</v>
          </cell>
          <cell r="O480">
            <v>0</v>
          </cell>
        </row>
        <row r="481">
          <cell r="L481">
            <v>0</v>
          </cell>
          <cell r="O481">
            <v>0</v>
          </cell>
        </row>
        <row r="482">
          <cell r="L482">
            <v>0</v>
          </cell>
          <cell r="O482">
            <v>0</v>
          </cell>
        </row>
        <row r="483">
          <cell r="L483">
            <v>0</v>
          </cell>
          <cell r="O483">
            <v>0</v>
          </cell>
        </row>
        <row r="484">
          <cell r="L484">
            <v>0</v>
          </cell>
          <cell r="O484">
            <v>0</v>
          </cell>
        </row>
        <row r="485">
          <cell r="L485">
            <v>0</v>
          </cell>
          <cell r="O485">
            <v>0</v>
          </cell>
        </row>
        <row r="486">
          <cell r="L486">
            <v>0</v>
          </cell>
          <cell r="O486">
            <v>0</v>
          </cell>
        </row>
        <row r="487">
          <cell r="L487">
            <v>0</v>
          </cell>
          <cell r="O487">
            <v>0</v>
          </cell>
        </row>
        <row r="488">
          <cell r="L488">
            <v>0</v>
          </cell>
          <cell r="O488">
            <v>0</v>
          </cell>
        </row>
        <row r="489">
          <cell r="L489">
            <v>0</v>
          </cell>
          <cell r="O489">
            <v>0</v>
          </cell>
        </row>
        <row r="490">
          <cell r="L490">
            <v>0</v>
          </cell>
          <cell r="O490">
            <v>0</v>
          </cell>
        </row>
        <row r="491">
          <cell r="L491">
            <v>0</v>
          </cell>
          <cell r="O491">
            <v>0</v>
          </cell>
        </row>
        <row r="492">
          <cell r="L492">
            <v>0</v>
          </cell>
          <cell r="O492">
            <v>0</v>
          </cell>
        </row>
        <row r="493">
          <cell r="L493">
            <v>0</v>
          </cell>
          <cell r="O493">
            <v>0</v>
          </cell>
        </row>
        <row r="494">
          <cell r="L494">
            <v>0</v>
          </cell>
          <cell r="O494">
            <v>0</v>
          </cell>
        </row>
        <row r="495">
          <cell r="L495">
            <v>0</v>
          </cell>
          <cell r="O495">
            <v>0</v>
          </cell>
        </row>
        <row r="496">
          <cell r="L496">
            <v>0</v>
          </cell>
          <cell r="O496">
            <v>0</v>
          </cell>
        </row>
        <row r="497">
          <cell r="L497">
            <v>0</v>
          </cell>
          <cell r="O497">
            <v>0</v>
          </cell>
        </row>
        <row r="498">
          <cell r="L498">
            <v>0</v>
          </cell>
          <cell r="O498">
            <v>0</v>
          </cell>
        </row>
        <row r="499">
          <cell r="L499">
            <v>0</v>
          </cell>
          <cell r="O499">
            <v>0</v>
          </cell>
        </row>
        <row r="500">
          <cell r="L500">
            <v>0</v>
          </cell>
          <cell r="O500">
            <v>0</v>
          </cell>
        </row>
        <row r="501">
          <cell r="L501">
            <v>0</v>
          </cell>
          <cell r="O501">
            <v>0</v>
          </cell>
        </row>
        <row r="502">
          <cell r="L502">
            <v>0</v>
          </cell>
          <cell r="O502">
            <v>0</v>
          </cell>
        </row>
        <row r="503">
          <cell r="L503">
            <v>0</v>
          </cell>
          <cell r="O503">
            <v>0</v>
          </cell>
        </row>
        <row r="504">
          <cell r="L504">
            <v>0</v>
          </cell>
          <cell r="O504">
            <v>0</v>
          </cell>
        </row>
        <row r="505">
          <cell r="L505">
            <v>0</v>
          </cell>
          <cell r="O505">
            <v>0</v>
          </cell>
        </row>
        <row r="506">
          <cell r="L506">
            <v>0</v>
          </cell>
          <cell r="O506">
            <v>0</v>
          </cell>
        </row>
        <row r="507">
          <cell r="L507">
            <v>0</v>
          </cell>
          <cell r="O507">
            <v>0</v>
          </cell>
        </row>
        <row r="508">
          <cell r="L508">
            <v>0</v>
          </cell>
          <cell r="O508">
            <v>0</v>
          </cell>
        </row>
        <row r="509">
          <cell r="L509">
            <v>0</v>
          </cell>
          <cell r="O509">
            <v>0</v>
          </cell>
        </row>
        <row r="510">
          <cell r="L510">
            <v>0</v>
          </cell>
          <cell r="O510">
            <v>0</v>
          </cell>
        </row>
        <row r="511">
          <cell r="L511">
            <v>0</v>
          </cell>
          <cell r="O511">
            <v>0</v>
          </cell>
        </row>
        <row r="512">
          <cell r="L512">
            <v>0</v>
          </cell>
          <cell r="O512">
            <v>0</v>
          </cell>
        </row>
        <row r="513">
          <cell r="L513">
            <v>0</v>
          </cell>
          <cell r="O513">
            <v>0</v>
          </cell>
        </row>
        <row r="514">
          <cell r="L514">
            <v>0</v>
          </cell>
          <cell r="O514">
            <v>0</v>
          </cell>
        </row>
        <row r="515">
          <cell r="L515">
            <v>0</v>
          </cell>
          <cell r="O515">
            <v>0</v>
          </cell>
        </row>
        <row r="516">
          <cell r="L516">
            <v>0</v>
          </cell>
          <cell r="O516">
            <v>0</v>
          </cell>
        </row>
        <row r="517">
          <cell r="L517">
            <v>0</v>
          </cell>
          <cell r="O517">
            <v>0</v>
          </cell>
        </row>
        <row r="518">
          <cell r="L518">
            <v>0</v>
          </cell>
          <cell r="O518">
            <v>0</v>
          </cell>
        </row>
        <row r="519">
          <cell r="L519">
            <v>0</v>
          </cell>
          <cell r="O519">
            <v>0</v>
          </cell>
        </row>
        <row r="520">
          <cell r="L520">
            <v>0</v>
          </cell>
          <cell r="O520">
            <v>0</v>
          </cell>
        </row>
        <row r="521">
          <cell r="L521">
            <v>0</v>
          </cell>
          <cell r="O521">
            <v>0</v>
          </cell>
        </row>
        <row r="522">
          <cell r="L522">
            <v>0</v>
          </cell>
          <cell r="O522">
            <v>0</v>
          </cell>
        </row>
        <row r="523">
          <cell r="L523">
            <v>0</v>
          </cell>
          <cell r="O523">
            <v>0</v>
          </cell>
        </row>
        <row r="524">
          <cell r="L524">
            <v>0</v>
          </cell>
          <cell r="O524">
            <v>0</v>
          </cell>
        </row>
        <row r="525">
          <cell r="L525">
            <v>0</v>
          </cell>
          <cell r="O525">
            <v>0</v>
          </cell>
        </row>
        <row r="526">
          <cell r="L526">
            <v>0</v>
          </cell>
          <cell r="O526">
            <v>0</v>
          </cell>
        </row>
        <row r="527">
          <cell r="L527">
            <v>0</v>
          </cell>
          <cell r="O527">
            <v>0</v>
          </cell>
        </row>
        <row r="528">
          <cell r="L528">
            <v>0</v>
          </cell>
          <cell r="O528">
            <v>0</v>
          </cell>
        </row>
        <row r="529">
          <cell r="L529">
            <v>0</v>
          </cell>
          <cell r="O529">
            <v>0</v>
          </cell>
        </row>
        <row r="530">
          <cell r="L530">
            <v>0</v>
          </cell>
          <cell r="O530">
            <v>0</v>
          </cell>
        </row>
        <row r="531">
          <cell r="L531">
            <v>0</v>
          </cell>
          <cell r="O531">
            <v>0</v>
          </cell>
        </row>
        <row r="532">
          <cell r="L532">
            <v>0</v>
          </cell>
          <cell r="O532">
            <v>0</v>
          </cell>
        </row>
        <row r="533">
          <cell r="L533">
            <v>0</v>
          </cell>
          <cell r="O533">
            <v>0</v>
          </cell>
        </row>
        <row r="534">
          <cell r="L534">
            <v>0</v>
          </cell>
          <cell r="O534">
            <v>0</v>
          </cell>
        </row>
        <row r="535">
          <cell r="L535">
            <v>0</v>
          </cell>
          <cell r="O535">
            <v>0</v>
          </cell>
        </row>
        <row r="536">
          <cell r="L536">
            <v>0</v>
          </cell>
          <cell r="O536">
            <v>0</v>
          </cell>
        </row>
        <row r="537">
          <cell r="L537">
            <v>0</v>
          </cell>
          <cell r="O537">
            <v>0</v>
          </cell>
        </row>
        <row r="538">
          <cell r="L538">
            <v>0</v>
          </cell>
          <cell r="O538">
            <v>0</v>
          </cell>
        </row>
        <row r="539">
          <cell r="L539">
            <v>0</v>
          </cell>
          <cell r="O539">
            <v>0</v>
          </cell>
        </row>
        <row r="540">
          <cell r="L540">
            <v>0</v>
          </cell>
          <cell r="O540">
            <v>0</v>
          </cell>
        </row>
        <row r="541">
          <cell r="L541">
            <v>0</v>
          </cell>
          <cell r="O541">
            <v>0</v>
          </cell>
        </row>
        <row r="542">
          <cell r="L542">
            <v>0</v>
          </cell>
          <cell r="O542">
            <v>0</v>
          </cell>
        </row>
        <row r="543">
          <cell r="L543">
            <v>0</v>
          </cell>
          <cell r="O543">
            <v>0</v>
          </cell>
        </row>
        <row r="544">
          <cell r="L544">
            <v>0</v>
          </cell>
          <cell r="O544">
            <v>0</v>
          </cell>
        </row>
        <row r="545">
          <cell r="L545">
            <v>0</v>
          </cell>
          <cell r="O545">
            <v>0</v>
          </cell>
        </row>
        <row r="546">
          <cell r="L546">
            <v>0</v>
          </cell>
          <cell r="O546">
            <v>0</v>
          </cell>
        </row>
        <row r="547">
          <cell r="L547">
            <v>0</v>
          </cell>
          <cell r="O547">
            <v>0</v>
          </cell>
        </row>
        <row r="548">
          <cell r="L548">
            <v>0</v>
          </cell>
          <cell r="O548">
            <v>0</v>
          </cell>
        </row>
        <row r="549">
          <cell r="L549">
            <v>0</v>
          </cell>
          <cell r="O549">
            <v>0</v>
          </cell>
        </row>
        <row r="550">
          <cell r="L550">
            <v>0</v>
          </cell>
          <cell r="O550">
            <v>0</v>
          </cell>
        </row>
        <row r="551">
          <cell r="L551">
            <v>0</v>
          </cell>
          <cell r="O551">
            <v>0</v>
          </cell>
        </row>
        <row r="552">
          <cell r="L552">
            <v>0</v>
          </cell>
          <cell r="O552">
            <v>0</v>
          </cell>
        </row>
        <row r="553">
          <cell r="L553">
            <v>0</v>
          </cell>
          <cell r="O553">
            <v>0</v>
          </cell>
        </row>
        <row r="554">
          <cell r="L554">
            <v>0</v>
          </cell>
          <cell r="O554">
            <v>0</v>
          </cell>
        </row>
        <row r="555">
          <cell r="L555">
            <v>0</v>
          </cell>
          <cell r="O555">
            <v>0</v>
          </cell>
        </row>
        <row r="556">
          <cell r="L556">
            <v>0</v>
          </cell>
          <cell r="O556">
            <v>0</v>
          </cell>
        </row>
        <row r="557">
          <cell r="L557">
            <v>0</v>
          </cell>
          <cell r="O557">
            <v>0</v>
          </cell>
        </row>
        <row r="558">
          <cell r="L558">
            <v>0</v>
          </cell>
          <cell r="O558">
            <v>0</v>
          </cell>
        </row>
        <row r="559">
          <cell r="L559">
            <v>0</v>
          </cell>
          <cell r="O559">
            <v>0</v>
          </cell>
        </row>
        <row r="560">
          <cell r="L560">
            <v>0</v>
          </cell>
          <cell r="O560">
            <v>0</v>
          </cell>
        </row>
        <row r="561">
          <cell r="L561">
            <v>0</v>
          </cell>
          <cell r="O561">
            <v>0</v>
          </cell>
        </row>
        <row r="562">
          <cell r="L562">
            <v>0</v>
          </cell>
          <cell r="O562">
            <v>0</v>
          </cell>
        </row>
        <row r="563">
          <cell r="L563">
            <v>0</v>
          </cell>
          <cell r="O563">
            <v>0</v>
          </cell>
        </row>
        <row r="564">
          <cell r="L564">
            <v>0</v>
          </cell>
          <cell r="O564">
            <v>0</v>
          </cell>
        </row>
        <row r="565">
          <cell r="L565">
            <v>0</v>
          </cell>
          <cell r="O565">
            <v>0</v>
          </cell>
        </row>
      </sheetData>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5AAF24-D084-4547-A6B4-4C13CABFAF9C}" name="TablePatterns" displayName="TablePatterns" ref="A21:J274" totalsRowShown="0" dataDxfId="11" headerRowCellStyle="Normal" dataCellStyle="Normal">
  <sortState xmlns:xlrd2="http://schemas.microsoft.com/office/spreadsheetml/2017/richdata2" ref="A22:J22">
    <sortCondition ref="J21:J22"/>
  </sortState>
  <tableColumns count="10">
    <tableColumn id="1" xr3:uid="{26636366-F91E-4C80-9A4A-D897351F0CA9}" name="Pattern" dataDxfId="10" dataCellStyle="Normal"/>
    <tableColumn id="2" xr3:uid="{0303FBA1-7B79-4E9B-A0F7-0DB008C24069}" name="A" dataDxfId="9" dataCellStyle="Normal"/>
    <tableColumn id="3" xr3:uid="{4FA17D77-7E24-4CAA-BC74-F57B9DD04D4E}" name="B" dataDxfId="8" dataCellStyle="Normal"/>
    <tableColumn id="4" xr3:uid="{E1B8FA64-B00E-4656-B090-1D43D2F019F9}" name="C" dataDxfId="7" dataCellStyle="Normal"/>
    <tableColumn id="5" xr3:uid="{28D2AB8A-0578-4450-AB4D-57F25BC3E65E}" name="D" dataDxfId="6" dataCellStyle="Normal"/>
    <tableColumn id="6" xr3:uid="{F2C516E0-2FDA-4D24-99D8-9E0D89A51621}" name="E" dataDxfId="5" dataCellStyle="Normal"/>
    <tableColumn id="7" xr3:uid="{0DBE71C1-5E3E-4A47-8CCD-FAD60DA993B6}" name="F" dataDxfId="4" dataCellStyle="Normal"/>
    <tableColumn id="8" xr3:uid="{E5F48DDD-FA05-4C67-BC48-026FAA1B1465}" name="G" dataDxfId="3" dataCellStyle="Normal"/>
    <tableColumn id="9" xr3:uid="{7EE78469-5583-4738-8B88-85CC979518D3}" name="Length" dataDxfId="2" dataCellStyle="Normal"/>
    <tableColumn id="11" xr3:uid="{957D09C4-9E62-4859-BEFC-3AC91FB72A70}" name="Waste" dataDxfId="1" dataCellStyle="Normal"/>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solvermax.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15C0-FEBF-4F6B-9E60-61A27F211F08}">
  <sheetPr codeName="Sheet2">
    <pageSetUpPr fitToPage="1"/>
  </sheetPr>
  <dimension ref="A1:L26"/>
  <sheetViews>
    <sheetView showGridLines="0" zoomScaleNormal="100" workbookViewId="0">
      <selection activeCell="K25" sqref="K25"/>
    </sheetView>
  </sheetViews>
  <sheetFormatPr defaultColWidth="0" defaultRowHeight="15" customHeight="1" zeroHeight="1" x14ac:dyDescent="0.25"/>
  <cols>
    <col min="1" max="10" width="10.28515625" style="1" customWidth="1"/>
    <col min="11" max="11" width="20.28515625" style="1" customWidth="1"/>
    <col min="12" max="12" width="3.140625" style="1" customWidth="1"/>
    <col min="13" max="16384" width="9.140625" style="1" hidden="1"/>
  </cols>
  <sheetData>
    <row r="1" spans="1:11" ht="21" x14ac:dyDescent="0.35">
      <c r="A1" s="11" t="s">
        <v>281</v>
      </c>
    </row>
    <row r="2" spans="1:11" x14ac:dyDescent="0.25"/>
    <row r="3" spans="1:11" x14ac:dyDescent="0.25"/>
    <row r="4" spans="1:11" x14ac:dyDescent="0.25"/>
    <row r="5" spans="1:11" x14ac:dyDescent="0.25"/>
    <row r="6" spans="1:11" x14ac:dyDescent="0.25"/>
    <row r="7" spans="1:11" x14ac:dyDescent="0.25"/>
    <row r="8" spans="1:11" x14ac:dyDescent="0.25"/>
    <row r="9" spans="1:11" x14ac:dyDescent="0.25"/>
    <row r="10" spans="1:11" x14ac:dyDescent="0.25"/>
    <row r="11" spans="1:11" x14ac:dyDescent="0.25">
      <c r="K11" s="12" t="s">
        <v>282</v>
      </c>
    </row>
    <row r="12" spans="1:11" x14ac:dyDescent="0.25"/>
    <row r="13" spans="1:11" x14ac:dyDescent="0.25"/>
    <row r="14" spans="1:11" x14ac:dyDescent="0.25"/>
    <row r="15" spans="1:11" ht="15.75" x14ac:dyDescent="0.25">
      <c r="K15" s="13" t="s">
        <v>283</v>
      </c>
    </row>
    <row r="16" spans="1:11" x14ac:dyDescent="0.25">
      <c r="K16" s="14" t="s">
        <v>284</v>
      </c>
    </row>
    <row r="17" spans="11:11" x14ac:dyDescent="0.25">
      <c r="K17" s="15" t="s">
        <v>285</v>
      </c>
    </row>
    <row r="18" spans="11:11" x14ac:dyDescent="0.25">
      <c r="K18" s="16" t="s">
        <v>286</v>
      </c>
    </row>
    <row r="19" spans="11:11" x14ac:dyDescent="0.25">
      <c r="K19" s="17" t="s">
        <v>287</v>
      </c>
    </row>
    <row r="20" spans="11:11" x14ac:dyDescent="0.25">
      <c r="K20" s="18" t="s">
        <v>288</v>
      </c>
    </row>
    <row r="21" spans="11:11" x14ac:dyDescent="0.25">
      <c r="K21" s="19" t="s">
        <v>289</v>
      </c>
    </row>
    <row r="22" spans="11:11" x14ac:dyDescent="0.25"/>
    <row r="23" spans="11:11" ht="15.75" x14ac:dyDescent="0.25">
      <c r="K23" s="13" t="s">
        <v>290</v>
      </c>
    </row>
    <row r="24" spans="11:11" x14ac:dyDescent="0.25">
      <c r="K24" s="1" t="s">
        <v>291</v>
      </c>
    </row>
    <row r="25" spans="11:11" x14ac:dyDescent="0.25">
      <c r="K25" s="20">
        <v>44742</v>
      </c>
    </row>
    <row r="26" spans="11:11" x14ac:dyDescent="0.25"/>
  </sheetData>
  <hyperlinks>
    <hyperlink ref="K11" r:id="rId1" xr:uid="{E3DAF54B-A02C-4472-85A1-D7F44A71B51E}"/>
  </hyperlinks>
  <pageMargins left="0.59055118110236227" right="0.59055118110236227" top="0.59055118110236227" bottom="0.59055118110236227" header="0.31496062992125984" footer="0.31496062992125984"/>
  <pageSetup paperSize="9" orientation="landscape" horizontalDpi="4294967292" verticalDpi="0" r:id="rId2"/>
  <headerFooter>
    <oddFooter>&amp;LFile: &amp;F, Worksheet: &amp;A&amp;CPage &amp;P of &amp;N&amp;RCopyright www.solvermax.com</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32683-BD7C-4E45-BC10-87D5B6953CFA}">
  <sheetPr codeName="Sheet6"/>
  <dimension ref="A1:Z274"/>
  <sheetViews>
    <sheetView showGridLines="0" tabSelected="1" zoomScaleNormal="100" workbookViewId="0">
      <selection activeCell="A2" sqref="A2"/>
    </sheetView>
  </sheetViews>
  <sheetFormatPr defaultColWidth="0" defaultRowHeight="15" x14ac:dyDescent="0.25"/>
  <cols>
    <col min="1" max="1" width="14.28515625" style="1" customWidth="1"/>
    <col min="2" max="10" width="12.85546875" style="1" customWidth="1"/>
    <col min="11" max="11" width="2.85546875" style="1" customWidth="1"/>
    <col min="12" max="24" width="10" style="1" customWidth="1"/>
    <col min="25" max="25" width="2.85546875" style="1" customWidth="1"/>
    <col min="26" max="26" width="0" style="1" hidden="1" customWidth="1"/>
    <col min="27" max="16384" width="9.140625" style="1" hidden="1"/>
  </cols>
  <sheetData>
    <row r="1" spans="1:24" ht="21" x14ac:dyDescent="0.35">
      <c r="A1" s="10" t="s">
        <v>16</v>
      </c>
    </row>
    <row r="3" spans="1:24" ht="17.25" x14ac:dyDescent="0.3">
      <c r="A3" s="9" t="s">
        <v>280</v>
      </c>
      <c r="B3" s="3"/>
      <c r="C3" s="3"/>
      <c r="L3" s="4" t="s">
        <v>279</v>
      </c>
      <c r="M3" s="3"/>
      <c r="N3" s="3"/>
      <c r="O3" s="3"/>
      <c r="P3" s="3"/>
      <c r="Q3" s="3"/>
      <c r="R3" s="3"/>
      <c r="S3" s="3"/>
      <c r="T3" s="3"/>
      <c r="U3" s="3"/>
      <c r="V3" s="3"/>
      <c r="W3" s="3"/>
      <c r="X3" s="3"/>
    </row>
    <row r="4" spans="1:24" x14ac:dyDescent="0.25">
      <c r="A4" s="1" t="s">
        <v>11</v>
      </c>
      <c r="B4" s="23">
        <v>6000</v>
      </c>
      <c r="C4" s="1" t="s">
        <v>17</v>
      </c>
    </row>
    <row r="5" spans="1:24" x14ac:dyDescent="0.25">
      <c r="A5" s="1" t="s">
        <v>12</v>
      </c>
      <c r="B5" s="24">
        <f>PRODUCT(B18:H18)</f>
        <v>45360</v>
      </c>
      <c r="C5" s="1" t="str">
        <f>IF(NumCombos&lt;=B6,"OK","Warning: May take a long time")</f>
        <v>OK</v>
      </c>
    </row>
    <row r="6" spans="1:24" x14ac:dyDescent="0.25">
      <c r="A6" s="1" t="s">
        <v>278</v>
      </c>
      <c r="B6" s="23">
        <v>10000000</v>
      </c>
      <c r="C6" s="1" t="s">
        <v>277</v>
      </c>
    </row>
    <row r="8" spans="1:24" ht="17.25" x14ac:dyDescent="0.3">
      <c r="A8" s="9" t="s">
        <v>276</v>
      </c>
      <c r="B8" s="3"/>
      <c r="C8" s="3"/>
    </row>
    <row r="9" spans="1:24" x14ac:dyDescent="0.25">
      <c r="A9" s="1" t="s">
        <v>14</v>
      </c>
      <c r="B9" s="24">
        <f>COUNTA(TablePatterns[Pattern])</f>
        <v>253</v>
      </c>
    </row>
    <row r="10" spans="1:24" x14ac:dyDescent="0.25">
      <c r="A10" s="1" t="s">
        <v>19</v>
      </c>
      <c r="B10" s="24">
        <f>COUNTIFS(TablePatterns[Waste],"&lt;="&amp;B11)</f>
        <v>15</v>
      </c>
    </row>
    <row r="11" spans="1:24" x14ac:dyDescent="0.25">
      <c r="A11" s="1" t="s">
        <v>20</v>
      </c>
      <c r="B11" s="23">
        <v>100</v>
      </c>
      <c r="C11" s="1" t="s">
        <v>17</v>
      </c>
    </row>
    <row r="13" spans="1:24" ht="17.25" x14ac:dyDescent="0.3">
      <c r="A13" s="4" t="s">
        <v>275</v>
      </c>
      <c r="B13" s="3"/>
      <c r="C13" s="3"/>
      <c r="D13" s="3"/>
      <c r="E13" s="3"/>
      <c r="F13" s="3"/>
      <c r="G13" s="3"/>
      <c r="H13" s="3"/>
      <c r="I13" s="3"/>
    </row>
    <row r="14" spans="1:24" x14ac:dyDescent="0.25">
      <c r="B14" s="8" t="s">
        <v>15</v>
      </c>
      <c r="C14" s="8"/>
      <c r="D14" s="8"/>
      <c r="E14" s="8"/>
      <c r="F14" s="8"/>
      <c r="G14" s="8"/>
      <c r="H14" s="8"/>
    </row>
    <row r="15" spans="1:24" x14ac:dyDescent="0.25">
      <c r="A15" s="3" t="s">
        <v>13</v>
      </c>
      <c r="B15" s="7" t="str">
        <f>TablePatterns[[#Headers],[A]]</f>
        <v>A</v>
      </c>
      <c r="C15" s="7" t="str">
        <f>TablePatterns[[#Headers],[B]]</f>
        <v>B</v>
      </c>
      <c r="D15" s="7" t="str">
        <f>TablePatterns[[#Headers],[C]]</f>
        <v>C</v>
      </c>
      <c r="E15" s="7" t="str">
        <f>TablePatterns[[#Headers],[D]]</f>
        <v>D</v>
      </c>
      <c r="F15" s="7" t="str">
        <f>TablePatterns[[#Headers],[E]]</f>
        <v>E</v>
      </c>
      <c r="G15" s="7" t="str">
        <f>TablePatterns[[#Headers],[F]]</f>
        <v>F</v>
      </c>
      <c r="H15" s="7" t="str">
        <f>TablePatterns[[#Headers],[G]]</f>
        <v>G</v>
      </c>
      <c r="I15" s="6" t="s">
        <v>274</v>
      </c>
    </row>
    <row r="16" spans="1:24" x14ac:dyDescent="0.25">
      <c r="A16" s="1" t="s">
        <v>1</v>
      </c>
      <c r="B16" s="23">
        <v>2316</v>
      </c>
      <c r="C16" s="23">
        <v>2200</v>
      </c>
      <c r="D16" s="23">
        <v>1650</v>
      </c>
      <c r="E16" s="23">
        <v>1460</v>
      </c>
      <c r="F16" s="23">
        <v>1140</v>
      </c>
      <c r="G16" s="23">
        <v>1120</v>
      </c>
      <c r="H16" s="23">
        <v>980</v>
      </c>
      <c r="I16" s="5" t="str">
        <f>IF(MAX(Lengths)&lt;=StockLength,"OK","Item(s) longer than stock")</f>
        <v>OK</v>
      </c>
    </row>
    <row r="17" spans="1:10" x14ac:dyDescent="0.25">
      <c r="A17" s="1" t="s">
        <v>10</v>
      </c>
      <c r="B17" s="24">
        <f t="shared" ref="B17:H17" si="0">ROUNDDOWN(StockLength/B16,0)</f>
        <v>2</v>
      </c>
      <c r="C17" s="24">
        <f t="shared" si="0"/>
        <v>2</v>
      </c>
      <c r="D17" s="24">
        <f t="shared" si="0"/>
        <v>3</v>
      </c>
      <c r="E17" s="24">
        <f t="shared" si="0"/>
        <v>4</v>
      </c>
      <c r="F17" s="24">
        <f t="shared" si="0"/>
        <v>5</v>
      </c>
      <c r="G17" s="24">
        <f t="shared" si="0"/>
        <v>5</v>
      </c>
      <c r="H17" s="24">
        <f t="shared" si="0"/>
        <v>6</v>
      </c>
      <c r="I17" s="2"/>
    </row>
    <row r="18" spans="1:10" x14ac:dyDescent="0.25">
      <c r="A18" s="1" t="s">
        <v>12</v>
      </c>
      <c r="B18" s="24">
        <f t="shared" ref="B18:H18" si="1">B17+1</f>
        <v>3</v>
      </c>
      <c r="C18" s="24">
        <f t="shared" si="1"/>
        <v>3</v>
      </c>
      <c r="D18" s="24">
        <f t="shared" si="1"/>
        <v>4</v>
      </c>
      <c r="E18" s="24">
        <f t="shared" si="1"/>
        <v>5</v>
      </c>
      <c r="F18" s="24">
        <f t="shared" si="1"/>
        <v>6</v>
      </c>
      <c r="G18" s="24">
        <f t="shared" si="1"/>
        <v>6</v>
      </c>
      <c r="H18" s="24">
        <f t="shared" si="1"/>
        <v>7</v>
      </c>
      <c r="I18" s="2"/>
    </row>
    <row r="20" spans="1:10" ht="17.25" x14ac:dyDescent="0.3">
      <c r="A20" s="4" t="s">
        <v>18</v>
      </c>
      <c r="B20" s="3"/>
      <c r="C20" s="3"/>
      <c r="D20" s="3"/>
      <c r="E20" s="3"/>
      <c r="F20" s="3"/>
      <c r="G20" s="3"/>
      <c r="H20" s="3"/>
      <c r="I20" s="3"/>
      <c r="J20" s="3"/>
    </row>
    <row r="21" spans="1:10" x14ac:dyDescent="0.25">
      <c r="A21" s="21" t="s">
        <v>0</v>
      </c>
      <c r="B21" s="25" t="s">
        <v>3</v>
      </c>
      <c r="C21" s="25" t="s">
        <v>4</v>
      </c>
      <c r="D21" s="25" t="s">
        <v>5</v>
      </c>
      <c r="E21" s="25" t="s">
        <v>6</v>
      </c>
      <c r="F21" s="25" t="s">
        <v>7</v>
      </c>
      <c r="G21" s="25" t="s">
        <v>8</v>
      </c>
      <c r="H21" s="25" t="s">
        <v>9</v>
      </c>
      <c r="I21" s="22" t="s">
        <v>1</v>
      </c>
      <c r="J21" s="22" t="s">
        <v>2</v>
      </c>
    </row>
    <row r="22" spans="1:10" x14ac:dyDescent="0.25">
      <c r="A22" s="26" t="s">
        <v>21</v>
      </c>
      <c r="B22" s="27">
        <v>2</v>
      </c>
      <c r="C22" s="27">
        <v>0</v>
      </c>
      <c r="D22" s="27">
        <v>0</v>
      </c>
      <c r="E22" s="27">
        <v>0</v>
      </c>
      <c r="F22" s="27">
        <v>1</v>
      </c>
      <c r="G22" s="27">
        <v>0</v>
      </c>
      <c r="H22" s="27">
        <v>0</v>
      </c>
      <c r="I22" s="27">
        <v>5772</v>
      </c>
      <c r="J22" s="27">
        <v>228</v>
      </c>
    </row>
    <row r="23" spans="1:10" x14ac:dyDescent="0.25">
      <c r="A23" s="26" t="s">
        <v>22</v>
      </c>
      <c r="B23" s="27">
        <v>2</v>
      </c>
      <c r="C23" s="27">
        <v>0</v>
      </c>
      <c r="D23" s="27">
        <v>0</v>
      </c>
      <c r="E23" s="27">
        <v>0</v>
      </c>
      <c r="F23" s="27">
        <v>0</v>
      </c>
      <c r="G23" s="27">
        <v>1</v>
      </c>
      <c r="H23" s="27">
        <v>0</v>
      </c>
      <c r="I23" s="27">
        <v>5752</v>
      </c>
      <c r="J23" s="27">
        <v>248</v>
      </c>
    </row>
    <row r="24" spans="1:10" x14ac:dyDescent="0.25">
      <c r="A24" s="26" t="s">
        <v>23</v>
      </c>
      <c r="B24" s="27">
        <v>2</v>
      </c>
      <c r="C24" s="27">
        <v>0</v>
      </c>
      <c r="D24" s="27">
        <v>0</v>
      </c>
      <c r="E24" s="27">
        <v>0</v>
      </c>
      <c r="F24" s="27">
        <v>0</v>
      </c>
      <c r="G24" s="27">
        <v>0</v>
      </c>
      <c r="H24" s="27">
        <v>1</v>
      </c>
      <c r="I24" s="27">
        <v>5612</v>
      </c>
      <c r="J24" s="27">
        <v>388</v>
      </c>
    </row>
    <row r="25" spans="1:10" x14ac:dyDescent="0.25">
      <c r="A25" s="26" t="s">
        <v>24</v>
      </c>
      <c r="B25" s="27">
        <v>2</v>
      </c>
      <c r="C25" s="27">
        <v>0</v>
      </c>
      <c r="D25" s="27">
        <v>0</v>
      </c>
      <c r="E25" s="27">
        <v>0</v>
      </c>
      <c r="F25" s="27">
        <v>0</v>
      </c>
      <c r="G25" s="27">
        <v>0</v>
      </c>
      <c r="H25" s="27">
        <v>0</v>
      </c>
      <c r="I25" s="27">
        <v>4632</v>
      </c>
      <c r="J25" s="27">
        <v>1368</v>
      </c>
    </row>
    <row r="26" spans="1:10" x14ac:dyDescent="0.25">
      <c r="A26" s="26" t="s">
        <v>25</v>
      </c>
      <c r="B26" s="27">
        <v>1</v>
      </c>
      <c r="C26" s="27">
        <v>1</v>
      </c>
      <c r="D26" s="27">
        <v>0</v>
      </c>
      <c r="E26" s="27">
        <v>1</v>
      </c>
      <c r="F26" s="27">
        <v>0</v>
      </c>
      <c r="G26" s="27">
        <v>0</v>
      </c>
      <c r="H26" s="27">
        <v>0</v>
      </c>
      <c r="I26" s="27">
        <v>5976</v>
      </c>
      <c r="J26" s="27">
        <v>24</v>
      </c>
    </row>
    <row r="27" spans="1:10" x14ac:dyDescent="0.25">
      <c r="A27" s="26" t="s">
        <v>26</v>
      </c>
      <c r="B27" s="27">
        <v>1</v>
      </c>
      <c r="C27" s="27">
        <v>1</v>
      </c>
      <c r="D27" s="27">
        <v>0</v>
      </c>
      <c r="E27" s="27">
        <v>0</v>
      </c>
      <c r="F27" s="27">
        <v>1</v>
      </c>
      <c r="G27" s="27">
        <v>0</v>
      </c>
      <c r="H27" s="27">
        <v>0</v>
      </c>
      <c r="I27" s="27">
        <v>5656</v>
      </c>
      <c r="J27" s="27">
        <v>344</v>
      </c>
    </row>
    <row r="28" spans="1:10" x14ac:dyDescent="0.25">
      <c r="A28" s="26" t="s">
        <v>27</v>
      </c>
      <c r="B28" s="27">
        <v>1</v>
      </c>
      <c r="C28" s="27">
        <v>1</v>
      </c>
      <c r="D28" s="27">
        <v>0</v>
      </c>
      <c r="E28" s="27">
        <v>0</v>
      </c>
      <c r="F28" s="27">
        <v>0</v>
      </c>
      <c r="G28" s="27">
        <v>1</v>
      </c>
      <c r="H28" s="27">
        <v>0</v>
      </c>
      <c r="I28" s="27">
        <v>5636</v>
      </c>
      <c r="J28" s="27">
        <v>364</v>
      </c>
    </row>
    <row r="29" spans="1:10" x14ac:dyDescent="0.25">
      <c r="A29" s="26" t="s">
        <v>28</v>
      </c>
      <c r="B29" s="27">
        <v>1</v>
      </c>
      <c r="C29" s="27">
        <v>1</v>
      </c>
      <c r="D29" s="27">
        <v>0</v>
      </c>
      <c r="E29" s="27">
        <v>0</v>
      </c>
      <c r="F29" s="27">
        <v>0</v>
      </c>
      <c r="G29" s="27">
        <v>0</v>
      </c>
      <c r="H29" s="27">
        <v>1</v>
      </c>
      <c r="I29" s="27">
        <v>5496</v>
      </c>
      <c r="J29" s="27">
        <v>504</v>
      </c>
    </row>
    <row r="30" spans="1:10" x14ac:dyDescent="0.25">
      <c r="A30" s="26" t="s">
        <v>29</v>
      </c>
      <c r="B30" s="27">
        <v>1</v>
      </c>
      <c r="C30" s="27">
        <v>1</v>
      </c>
      <c r="D30" s="27">
        <v>0</v>
      </c>
      <c r="E30" s="27">
        <v>0</v>
      </c>
      <c r="F30" s="27">
        <v>0</v>
      </c>
      <c r="G30" s="27">
        <v>0</v>
      </c>
      <c r="H30" s="27">
        <v>0</v>
      </c>
      <c r="I30" s="27">
        <v>4516</v>
      </c>
      <c r="J30" s="27">
        <v>1484</v>
      </c>
    </row>
    <row r="31" spans="1:10" x14ac:dyDescent="0.25">
      <c r="A31" s="26" t="s">
        <v>30</v>
      </c>
      <c r="B31" s="27">
        <v>1</v>
      </c>
      <c r="C31" s="27">
        <v>0</v>
      </c>
      <c r="D31" s="27">
        <v>2</v>
      </c>
      <c r="E31" s="27">
        <v>0</v>
      </c>
      <c r="F31" s="27">
        <v>0</v>
      </c>
      <c r="G31" s="27">
        <v>0</v>
      </c>
      <c r="H31" s="27">
        <v>0</v>
      </c>
      <c r="I31" s="27">
        <v>5616</v>
      </c>
      <c r="J31" s="27">
        <v>384</v>
      </c>
    </row>
    <row r="32" spans="1:10" x14ac:dyDescent="0.25">
      <c r="A32" s="26" t="s">
        <v>31</v>
      </c>
      <c r="B32" s="27">
        <v>1</v>
      </c>
      <c r="C32" s="27">
        <v>0</v>
      </c>
      <c r="D32" s="27">
        <v>1</v>
      </c>
      <c r="E32" s="27">
        <v>1</v>
      </c>
      <c r="F32" s="27">
        <v>0</v>
      </c>
      <c r="G32" s="27">
        <v>0</v>
      </c>
      <c r="H32" s="27">
        <v>0</v>
      </c>
      <c r="I32" s="27">
        <v>5426</v>
      </c>
      <c r="J32" s="27">
        <v>574</v>
      </c>
    </row>
    <row r="33" spans="1:10" x14ac:dyDescent="0.25">
      <c r="A33" s="26" t="s">
        <v>32</v>
      </c>
      <c r="B33" s="27">
        <v>1</v>
      </c>
      <c r="C33" s="27">
        <v>0</v>
      </c>
      <c r="D33" s="27">
        <v>1</v>
      </c>
      <c r="E33" s="27">
        <v>0</v>
      </c>
      <c r="F33" s="27">
        <v>1</v>
      </c>
      <c r="G33" s="27">
        <v>0</v>
      </c>
      <c r="H33" s="27">
        <v>0</v>
      </c>
      <c r="I33" s="27">
        <v>5106</v>
      </c>
      <c r="J33" s="27">
        <v>894</v>
      </c>
    </row>
    <row r="34" spans="1:10" x14ac:dyDescent="0.25">
      <c r="A34" s="26" t="s">
        <v>33</v>
      </c>
      <c r="B34" s="27">
        <v>1</v>
      </c>
      <c r="C34" s="27">
        <v>0</v>
      </c>
      <c r="D34" s="27">
        <v>1</v>
      </c>
      <c r="E34" s="27">
        <v>0</v>
      </c>
      <c r="F34" s="27">
        <v>0</v>
      </c>
      <c r="G34" s="27">
        <v>1</v>
      </c>
      <c r="H34" s="27">
        <v>0</v>
      </c>
      <c r="I34" s="27">
        <v>5086</v>
      </c>
      <c r="J34" s="27">
        <v>914</v>
      </c>
    </row>
    <row r="35" spans="1:10" x14ac:dyDescent="0.25">
      <c r="A35" s="26" t="s">
        <v>34</v>
      </c>
      <c r="B35" s="27">
        <v>1</v>
      </c>
      <c r="C35" s="27">
        <v>0</v>
      </c>
      <c r="D35" s="27">
        <v>1</v>
      </c>
      <c r="E35" s="27">
        <v>0</v>
      </c>
      <c r="F35" s="27">
        <v>0</v>
      </c>
      <c r="G35" s="27">
        <v>0</v>
      </c>
      <c r="H35" s="27">
        <v>2</v>
      </c>
      <c r="I35" s="27">
        <v>5926</v>
      </c>
      <c r="J35" s="27">
        <v>74</v>
      </c>
    </row>
    <row r="36" spans="1:10" x14ac:dyDescent="0.25">
      <c r="A36" s="26" t="s">
        <v>35</v>
      </c>
      <c r="B36" s="27">
        <v>1</v>
      </c>
      <c r="C36" s="27">
        <v>0</v>
      </c>
      <c r="D36" s="27">
        <v>1</v>
      </c>
      <c r="E36" s="27">
        <v>0</v>
      </c>
      <c r="F36" s="27">
        <v>0</v>
      </c>
      <c r="G36" s="27">
        <v>0</v>
      </c>
      <c r="H36" s="27">
        <v>1</v>
      </c>
      <c r="I36" s="27">
        <v>4946</v>
      </c>
      <c r="J36" s="27">
        <v>1054</v>
      </c>
    </row>
    <row r="37" spans="1:10" x14ac:dyDescent="0.25">
      <c r="A37" s="26" t="s">
        <v>36</v>
      </c>
      <c r="B37" s="27">
        <v>1</v>
      </c>
      <c r="C37" s="27">
        <v>0</v>
      </c>
      <c r="D37" s="27">
        <v>1</v>
      </c>
      <c r="E37" s="27">
        <v>0</v>
      </c>
      <c r="F37" s="27">
        <v>0</v>
      </c>
      <c r="G37" s="27">
        <v>0</v>
      </c>
      <c r="H37" s="27">
        <v>0</v>
      </c>
      <c r="I37" s="27">
        <v>3966</v>
      </c>
      <c r="J37" s="27">
        <v>2034</v>
      </c>
    </row>
    <row r="38" spans="1:10" x14ac:dyDescent="0.25">
      <c r="A38" s="26" t="s">
        <v>37</v>
      </c>
      <c r="B38" s="27">
        <v>1</v>
      </c>
      <c r="C38" s="27">
        <v>0</v>
      </c>
      <c r="D38" s="27">
        <v>0</v>
      </c>
      <c r="E38" s="27">
        <v>2</v>
      </c>
      <c r="F38" s="27">
        <v>0</v>
      </c>
      <c r="G38" s="27">
        <v>0</v>
      </c>
      <c r="H38" s="27">
        <v>0</v>
      </c>
      <c r="I38" s="27">
        <v>5236</v>
      </c>
      <c r="J38" s="27">
        <v>764</v>
      </c>
    </row>
    <row r="39" spans="1:10" x14ac:dyDescent="0.25">
      <c r="A39" s="26" t="s">
        <v>38</v>
      </c>
      <c r="B39" s="27">
        <v>1</v>
      </c>
      <c r="C39" s="27">
        <v>0</v>
      </c>
      <c r="D39" s="27">
        <v>0</v>
      </c>
      <c r="E39" s="27">
        <v>1</v>
      </c>
      <c r="F39" s="27">
        <v>1</v>
      </c>
      <c r="G39" s="27">
        <v>0</v>
      </c>
      <c r="H39" s="27">
        <v>1</v>
      </c>
      <c r="I39" s="27">
        <v>5896</v>
      </c>
      <c r="J39" s="27">
        <v>104</v>
      </c>
    </row>
    <row r="40" spans="1:10" x14ac:dyDescent="0.25">
      <c r="A40" s="26" t="s">
        <v>39</v>
      </c>
      <c r="B40" s="27">
        <v>1</v>
      </c>
      <c r="C40" s="27">
        <v>0</v>
      </c>
      <c r="D40" s="27">
        <v>0</v>
      </c>
      <c r="E40" s="27">
        <v>1</v>
      </c>
      <c r="F40" s="27">
        <v>1</v>
      </c>
      <c r="G40" s="27">
        <v>0</v>
      </c>
      <c r="H40" s="27">
        <v>0</v>
      </c>
      <c r="I40" s="27">
        <v>4916</v>
      </c>
      <c r="J40" s="27">
        <v>1084</v>
      </c>
    </row>
    <row r="41" spans="1:10" x14ac:dyDescent="0.25">
      <c r="A41" s="26" t="s">
        <v>40</v>
      </c>
      <c r="B41" s="27">
        <v>1</v>
      </c>
      <c r="C41" s="27">
        <v>0</v>
      </c>
      <c r="D41" s="27">
        <v>0</v>
      </c>
      <c r="E41" s="27">
        <v>1</v>
      </c>
      <c r="F41" s="27">
        <v>0</v>
      </c>
      <c r="G41" s="27">
        <v>1</v>
      </c>
      <c r="H41" s="27">
        <v>1</v>
      </c>
      <c r="I41" s="27">
        <v>5876</v>
      </c>
      <c r="J41" s="27">
        <v>124</v>
      </c>
    </row>
    <row r="42" spans="1:10" x14ac:dyDescent="0.25">
      <c r="A42" s="26" t="s">
        <v>41</v>
      </c>
      <c r="B42" s="27">
        <v>1</v>
      </c>
      <c r="C42" s="27">
        <v>0</v>
      </c>
      <c r="D42" s="27">
        <v>0</v>
      </c>
      <c r="E42" s="27">
        <v>1</v>
      </c>
      <c r="F42" s="27">
        <v>0</v>
      </c>
      <c r="G42" s="27">
        <v>1</v>
      </c>
      <c r="H42" s="27">
        <v>0</v>
      </c>
      <c r="I42" s="27">
        <v>4896</v>
      </c>
      <c r="J42" s="27">
        <v>1104</v>
      </c>
    </row>
    <row r="43" spans="1:10" x14ac:dyDescent="0.25">
      <c r="A43" s="26" t="s">
        <v>42</v>
      </c>
      <c r="B43" s="27">
        <v>1</v>
      </c>
      <c r="C43" s="27">
        <v>0</v>
      </c>
      <c r="D43" s="27">
        <v>0</v>
      </c>
      <c r="E43" s="27">
        <v>1</v>
      </c>
      <c r="F43" s="27">
        <v>0</v>
      </c>
      <c r="G43" s="27">
        <v>0</v>
      </c>
      <c r="H43" s="27">
        <v>2</v>
      </c>
      <c r="I43" s="27">
        <v>5736</v>
      </c>
      <c r="J43" s="27">
        <v>264</v>
      </c>
    </row>
    <row r="44" spans="1:10" x14ac:dyDescent="0.25">
      <c r="A44" s="26" t="s">
        <v>43</v>
      </c>
      <c r="B44" s="27">
        <v>1</v>
      </c>
      <c r="C44" s="27">
        <v>0</v>
      </c>
      <c r="D44" s="27">
        <v>0</v>
      </c>
      <c r="E44" s="27">
        <v>1</v>
      </c>
      <c r="F44" s="27">
        <v>0</v>
      </c>
      <c r="G44" s="27">
        <v>0</v>
      </c>
      <c r="H44" s="27">
        <v>1</v>
      </c>
      <c r="I44" s="27">
        <v>4756</v>
      </c>
      <c r="J44" s="27">
        <v>1244</v>
      </c>
    </row>
    <row r="45" spans="1:10" x14ac:dyDescent="0.25">
      <c r="A45" s="26" t="s">
        <v>44</v>
      </c>
      <c r="B45" s="27">
        <v>1</v>
      </c>
      <c r="C45" s="27">
        <v>0</v>
      </c>
      <c r="D45" s="27">
        <v>0</v>
      </c>
      <c r="E45" s="27">
        <v>1</v>
      </c>
      <c r="F45" s="27">
        <v>0</v>
      </c>
      <c r="G45" s="27">
        <v>0</v>
      </c>
      <c r="H45" s="27">
        <v>0</v>
      </c>
      <c r="I45" s="27">
        <v>3776</v>
      </c>
      <c r="J45" s="27">
        <v>2224</v>
      </c>
    </row>
    <row r="46" spans="1:10" x14ac:dyDescent="0.25">
      <c r="A46" s="26" t="s">
        <v>45</v>
      </c>
      <c r="B46" s="27">
        <v>1</v>
      </c>
      <c r="C46" s="27">
        <v>0</v>
      </c>
      <c r="D46" s="27">
        <v>0</v>
      </c>
      <c r="E46" s="27">
        <v>0</v>
      </c>
      <c r="F46" s="27">
        <v>3</v>
      </c>
      <c r="G46" s="27">
        <v>0</v>
      </c>
      <c r="H46" s="27">
        <v>0</v>
      </c>
      <c r="I46" s="27">
        <v>5736</v>
      </c>
      <c r="J46" s="27">
        <v>264</v>
      </c>
    </row>
    <row r="47" spans="1:10" x14ac:dyDescent="0.25">
      <c r="A47" s="26" t="s">
        <v>46</v>
      </c>
      <c r="B47" s="27">
        <v>1</v>
      </c>
      <c r="C47" s="27">
        <v>0</v>
      </c>
      <c r="D47" s="27">
        <v>0</v>
      </c>
      <c r="E47" s="27">
        <v>0</v>
      </c>
      <c r="F47" s="27">
        <v>2</v>
      </c>
      <c r="G47" s="27">
        <v>1</v>
      </c>
      <c r="H47" s="27">
        <v>0</v>
      </c>
      <c r="I47" s="27">
        <v>5716</v>
      </c>
      <c r="J47" s="27">
        <v>284</v>
      </c>
    </row>
    <row r="48" spans="1:10" x14ac:dyDescent="0.25">
      <c r="A48" s="26" t="s">
        <v>47</v>
      </c>
      <c r="B48" s="27">
        <v>1</v>
      </c>
      <c r="C48" s="27">
        <v>0</v>
      </c>
      <c r="D48" s="27">
        <v>0</v>
      </c>
      <c r="E48" s="27">
        <v>0</v>
      </c>
      <c r="F48" s="27">
        <v>2</v>
      </c>
      <c r="G48" s="27">
        <v>0</v>
      </c>
      <c r="H48" s="27">
        <v>1</v>
      </c>
      <c r="I48" s="27">
        <v>5576</v>
      </c>
      <c r="J48" s="27">
        <v>424</v>
      </c>
    </row>
    <row r="49" spans="1:10" x14ac:dyDescent="0.25">
      <c r="A49" s="26" t="s">
        <v>48</v>
      </c>
      <c r="B49" s="27">
        <v>1</v>
      </c>
      <c r="C49" s="27">
        <v>0</v>
      </c>
      <c r="D49" s="27">
        <v>0</v>
      </c>
      <c r="E49" s="27">
        <v>0</v>
      </c>
      <c r="F49" s="27">
        <v>2</v>
      </c>
      <c r="G49" s="27">
        <v>0</v>
      </c>
      <c r="H49" s="27">
        <v>0</v>
      </c>
      <c r="I49" s="27">
        <v>4596</v>
      </c>
      <c r="J49" s="27">
        <v>1404</v>
      </c>
    </row>
    <row r="50" spans="1:10" x14ac:dyDescent="0.25">
      <c r="A50" s="26" t="s">
        <v>49</v>
      </c>
      <c r="B50" s="27">
        <v>1</v>
      </c>
      <c r="C50" s="27">
        <v>0</v>
      </c>
      <c r="D50" s="27">
        <v>0</v>
      </c>
      <c r="E50" s="27">
        <v>0</v>
      </c>
      <c r="F50" s="27">
        <v>1</v>
      </c>
      <c r="G50" s="27">
        <v>2</v>
      </c>
      <c r="H50" s="27">
        <v>0</v>
      </c>
      <c r="I50" s="27">
        <v>5696</v>
      </c>
      <c r="J50" s="27">
        <v>304</v>
      </c>
    </row>
    <row r="51" spans="1:10" x14ac:dyDescent="0.25">
      <c r="A51" s="26" t="s">
        <v>50</v>
      </c>
      <c r="B51" s="27">
        <v>1</v>
      </c>
      <c r="C51" s="27">
        <v>0</v>
      </c>
      <c r="D51" s="27">
        <v>0</v>
      </c>
      <c r="E51" s="27">
        <v>0</v>
      </c>
      <c r="F51" s="27">
        <v>1</v>
      </c>
      <c r="G51" s="27">
        <v>1</v>
      </c>
      <c r="H51" s="27">
        <v>1</v>
      </c>
      <c r="I51" s="27">
        <v>5556</v>
      </c>
      <c r="J51" s="27">
        <v>444</v>
      </c>
    </row>
    <row r="52" spans="1:10" x14ac:dyDescent="0.25">
      <c r="A52" s="26" t="s">
        <v>51</v>
      </c>
      <c r="B52" s="27">
        <v>1</v>
      </c>
      <c r="C52" s="27">
        <v>0</v>
      </c>
      <c r="D52" s="27">
        <v>0</v>
      </c>
      <c r="E52" s="27">
        <v>0</v>
      </c>
      <c r="F52" s="27">
        <v>1</v>
      </c>
      <c r="G52" s="27">
        <v>1</v>
      </c>
      <c r="H52" s="27">
        <v>0</v>
      </c>
      <c r="I52" s="27">
        <v>4576</v>
      </c>
      <c r="J52" s="27">
        <v>1424</v>
      </c>
    </row>
    <row r="53" spans="1:10" x14ac:dyDescent="0.25">
      <c r="A53" s="26" t="s">
        <v>52</v>
      </c>
      <c r="B53" s="27">
        <v>1</v>
      </c>
      <c r="C53" s="27">
        <v>0</v>
      </c>
      <c r="D53" s="27">
        <v>0</v>
      </c>
      <c r="E53" s="27">
        <v>0</v>
      </c>
      <c r="F53" s="27">
        <v>1</v>
      </c>
      <c r="G53" s="27">
        <v>0</v>
      </c>
      <c r="H53" s="27">
        <v>2</v>
      </c>
      <c r="I53" s="27">
        <v>5416</v>
      </c>
      <c r="J53" s="27">
        <v>584</v>
      </c>
    </row>
    <row r="54" spans="1:10" x14ac:dyDescent="0.25">
      <c r="A54" s="26" t="s">
        <v>53</v>
      </c>
      <c r="B54" s="27">
        <v>1</v>
      </c>
      <c r="C54" s="27">
        <v>0</v>
      </c>
      <c r="D54" s="27">
        <v>0</v>
      </c>
      <c r="E54" s="27">
        <v>0</v>
      </c>
      <c r="F54" s="27">
        <v>1</v>
      </c>
      <c r="G54" s="27">
        <v>0</v>
      </c>
      <c r="H54" s="27">
        <v>1</v>
      </c>
      <c r="I54" s="27">
        <v>4436</v>
      </c>
      <c r="J54" s="27">
        <v>1564</v>
      </c>
    </row>
    <row r="55" spans="1:10" x14ac:dyDescent="0.25">
      <c r="A55" s="26" t="s">
        <v>54</v>
      </c>
      <c r="B55" s="27">
        <v>1</v>
      </c>
      <c r="C55" s="27">
        <v>0</v>
      </c>
      <c r="D55" s="27">
        <v>0</v>
      </c>
      <c r="E55" s="27">
        <v>0</v>
      </c>
      <c r="F55" s="27">
        <v>1</v>
      </c>
      <c r="G55" s="27">
        <v>0</v>
      </c>
      <c r="H55" s="27">
        <v>0</v>
      </c>
      <c r="I55" s="27">
        <v>3456</v>
      </c>
      <c r="J55" s="27">
        <v>2544</v>
      </c>
    </row>
    <row r="56" spans="1:10" x14ac:dyDescent="0.25">
      <c r="A56" s="26" t="s">
        <v>55</v>
      </c>
      <c r="B56" s="27">
        <v>1</v>
      </c>
      <c r="C56" s="27">
        <v>0</v>
      </c>
      <c r="D56" s="27">
        <v>0</v>
      </c>
      <c r="E56" s="27">
        <v>0</v>
      </c>
      <c r="F56" s="27">
        <v>0</v>
      </c>
      <c r="G56" s="27">
        <v>3</v>
      </c>
      <c r="H56" s="27">
        <v>0</v>
      </c>
      <c r="I56" s="27">
        <v>5676</v>
      </c>
      <c r="J56" s="27">
        <v>324</v>
      </c>
    </row>
    <row r="57" spans="1:10" x14ac:dyDescent="0.25">
      <c r="A57" s="26" t="s">
        <v>56</v>
      </c>
      <c r="B57" s="27">
        <v>1</v>
      </c>
      <c r="C57" s="27">
        <v>0</v>
      </c>
      <c r="D57" s="27">
        <v>0</v>
      </c>
      <c r="E57" s="27">
        <v>0</v>
      </c>
      <c r="F57" s="27">
        <v>0</v>
      </c>
      <c r="G57" s="27">
        <v>2</v>
      </c>
      <c r="H57" s="27">
        <v>1</v>
      </c>
      <c r="I57" s="27">
        <v>5536</v>
      </c>
      <c r="J57" s="27">
        <v>464</v>
      </c>
    </row>
    <row r="58" spans="1:10" x14ac:dyDescent="0.25">
      <c r="A58" s="26" t="s">
        <v>57</v>
      </c>
      <c r="B58" s="27">
        <v>1</v>
      </c>
      <c r="C58" s="27">
        <v>0</v>
      </c>
      <c r="D58" s="27">
        <v>0</v>
      </c>
      <c r="E58" s="27">
        <v>0</v>
      </c>
      <c r="F58" s="27">
        <v>0</v>
      </c>
      <c r="G58" s="27">
        <v>2</v>
      </c>
      <c r="H58" s="27">
        <v>0</v>
      </c>
      <c r="I58" s="27">
        <v>4556</v>
      </c>
      <c r="J58" s="27">
        <v>1444</v>
      </c>
    </row>
    <row r="59" spans="1:10" x14ac:dyDescent="0.25">
      <c r="A59" s="26" t="s">
        <v>58</v>
      </c>
      <c r="B59" s="27">
        <v>1</v>
      </c>
      <c r="C59" s="27">
        <v>0</v>
      </c>
      <c r="D59" s="27">
        <v>0</v>
      </c>
      <c r="E59" s="27">
        <v>0</v>
      </c>
      <c r="F59" s="27">
        <v>0</v>
      </c>
      <c r="G59" s="27">
        <v>1</v>
      </c>
      <c r="H59" s="27">
        <v>2</v>
      </c>
      <c r="I59" s="27">
        <v>5396</v>
      </c>
      <c r="J59" s="27">
        <v>604</v>
      </c>
    </row>
    <row r="60" spans="1:10" x14ac:dyDescent="0.25">
      <c r="A60" s="26" t="s">
        <v>59</v>
      </c>
      <c r="B60" s="27">
        <v>1</v>
      </c>
      <c r="C60" s="27">
        <v>0</v>
      </c>
      <c r="D60" s="27">
        <v>0</v>
      </c>
      <c r="E60" s="27">
        <v>0</v>
      </c>
      <c r="F60" s="27">
        <v>0</v>
      </c>
      <c r="G60" s="27">
        <v>1</v>
      </c>
      <c r="H60" s="27">
        <v>1</v>
      </c>
      <c r="I60" s="27">
        <v>4416</v>
      </c>
      <c r="J60" s="27">
        <v>1584</v>
      </c>
    </row>
    <row r="61" spans="1:10" x14ac:dyDescent="0.25">
      <c r="A61" s="26" t="s">
        <v>60</v>
      </c>
      <c r="B61" s="27">
        <v>1</v>
      </c>
      <c r="C61" s="27">
        <v>0</v>
      </c>
      <c r="D61" s="27">
        <v>0</v>
      </c>
      <c r="E61" s="27">
        <v>0</v>
      </c>
      <c r="F61" s="27">
        <v>0</v>
      </c>
      <c r="G61" s="27">
        <v>1</v>
      </c>
      <c r="H61" s="27">
        <v>0</v>
      </c>
      <c r="I61" s="27">
        <v>3436</v>
      </c>
      <c r="J61" s="27">
        <v>2564</v>
      </c>
    </row>
    <row r="62" spans="1:10" x14ac:dyDescent="0.25">
      <c r="A62" s="26" t="s">
        <v>61</v>
      </c>
      <c r="B62" s="27">
        <v>1</v>
      </c>
      <c r="C62" s="27">
        <v>0</v>
      </c>
      <c r="D62" s="27">
        <v>0</v>
      </c>
      <c r="E62" s="27">
        <v>0</v>
      </c>
      <c r="F62" s="27">
        <v>0</v>
      </c>
      <c r="G62" s="27">
        <v>0</v>
      </c>
      <c r="H62" s="27">
        <v>3</v>
      </c>
      <c r="I62" s="27">
        <v>5256</v>
      </c>
      <c r="J62" s="27">
        <v>744</v>
      </c>
    </row>
    <row r="63" spans="1:10" x14ac:dyDescent="0.25">
      <c r="A63" s="26" t="s">
        <v>62</v>
      </c>
      <c r="B63" s="27">
        <v>1</v>
      </c>
      <c r="C63" s="27">
        <v>0</v>
      </c>
      <c r="D63" s="27">
        <v>0</v>
      </c>
      <c r="E63" s="27">
        <v>0</v>
      </c>
      <c r="F63" s="27">
        <v>0</v>
      </c>
      <c r="G63" s="27">
        <v>0</v>
      </c>
      <c r="H63" s="27">
        <v>2</v>
      </c>
      <c r="I63" s="27">
        <v>4276</v>
      </c>
      <c r="J63" s="27">
        <v>1724</v>
      </c>
    </row>
    <row r="64" spans="1:10" x14ac:dyDescent="0.25">
      <c r="A64" s="26" t="s">
        <v>63</v>
      </c>
      <c r="B64" s="27">
        <v>1</v>
      </c>
      <c r="C64" s="27">
        <v>0</v>
      </c>
      <c r="D64" s="27">
        <v>0</v>
      </c>
      <c r="E64" s="27">
        <v>0</v>
      </c>
      <c r="F64" s="27">
        <v>0</v>
      </c>
      <c r="G64" s="27">
        <v>0</v>
      </c>
      <c r="H64" s="27">
        <v>1</v>
      </c>
      <c r="I64" s="27">
        <v>3296</v>
      </c>
      <c r="J64" s="27">
        <v>2704</v>
      </c>
    </row>
    <row r="65" spans="1:10" x14ac:dyDescent="0.25">
      <c r="A65" s="26" t="s">
        <v>64</v>
      </c>
      <c r="B65" s="27">
        <v>1</v>
      </c>
      <c r="C65" s="27">
        <v>0</v>
      </c>
      <c r="D65" s="27">
        <v>0</v>
      </c>
      <c r="E65" s="27">
        <v>0</v>
      </c>
      <c r="F65" s="27">
        <v>0</v>
      </c>
      <c r="G65" s="27">
        <v>0</v>
      </c>
      <c r="H65" s="27">
        <v>0</v>
      </c>
      <c r="I65" s="27">
        <v>2316</v>
      </c>
      <c r="J65" s="27">
        <v>3684</v>
      </c>
    </row>
    <row r="66" spans="1:10" x14ac:dyDescent="0.25">
      <c r="A66" s="26" t="s">
        <v>65</v>
      </c>
      <c r="B66" s="27">
        <v>0</v>
      </c>
      <c r="C66" s="27">
        <v>2</v>
      </c>
      <c r="D66" s="27">
        <v>0</v>
      </c>
      <c r="E66" s="27">
        <v>1</v>
      </c>
      <c r="F66" s="27">
        <v>0</v>
      </c>
      <c r="G66" s="27">
        <v>0</v>
      </c>
      <c r="H66" s="27">
        <v>0</v>
      </c>
      <c r="I66" s="27">
        <v>5860</v>
      </c>
      <c r="J66" s="27">
        <v>140</v>
      </c>
    </row>
    <row r="67" spans="1:10" x14ac:dyDescent="0.25">
      <c r="A67" s="26" t="s">
        <v>66</v>
      </c>
      <c r="B67" s="27">
        <v>0</v>
      </c>
      <c r="C67" s="27">
        <v>2</v>
      </c>
      <c r="D67" s="27">
        <v>0</v>
      </c>
      <c r="E67" s="27">
        <v>0</v>
      </c>
      <c r="F67" s="27">
        <v>1</v>
      </c>
      <c r="G67" s="27">
        <v>0</v>
      </c>
      <c r="H67" s="27">
        <v>0</v>
      </c>
      <c r="I67" s="27">
        <v>5540</v>
      </c>
      <c r="J67" s="27">
        <v>460</v>
      </c>
    </row>
    <row r="68" spans="1:10" x14ac:dyDescent="0.25">
      <c r="A68" s="26" t="s">
        <v>67</v>
      </c>
      <c r="B68" s="27">
        <v>0</v>
      </c>
      <c r="C68" s="27">
        <v>2</v>
      </c>
      <c r="D68" s="27">
        <v>0</v>
      </c>
      <c r="E68" s="27">
        <v>0</v>
      </c>
      <c r="F68" s="27">
        <v>0</v>
      </c>
      <c r="G68" s="27">
        <v>1</v>
      </c>
      <c r="H68" s="27">
        <v>0</v>
      </c>
      <c r="I68" s="27">
        <v>5520</v>
      </c>
      <c r="J68" s="27">
        <v>480</v>
      </c>
    </row>
    <row r="69" spans="1:10" x14ac:dyDescent="0.25">
      <c r="A69" s="26" t="s">
        <v>68</v>
      </c>
      <c r="B69" s="27">
        <v>0</v>
      </c>
      <c r="C69" s="27">
        <v>2</v>
      </c>
      <c r="D69" s="27">
        <v>0</v>
      </c>
      <c r="E69" s="27">
        <v>0</v>
      </c>
      <c r="F69" s="27">
        <v>0</v>
      </c>
      <c r="G69" s="27">
        <v>0</v>
      </c>
      <c r="H69" s="27">
        <v>1</v>
      </c>
      <c r="I69" s="27">
        <v>5380</v>
      </c>
      <c r="J69" s="27">
        <v>620</v>
      </c>
    </row>
    <row r="70" spans="1:10" x14ac:dyDescent="0.25">
      <c r="A70" s="26" t="s">
        <v>69</v>
      </c>
      <c r="B70" s="27">
        <v>0</v>
      </c>
      <c r="C70" s="27">
        <v>2</v>
      </c>
      <c r="D70" s="27">
        <v>0</v>
      </c>
      <c r="E70" s="27">
        <v>0</v>
      </c>
      <c r="F70" s="27">
        <v>0</v>
      </c>
      <c r="G70" s="27">
        <v>0</v>
      </c>
      <c r="H70" s="27">
        <v>0</v>
      </c>
      <c r="I70" s="27">
        <v>4400</v>
      </c>
      <c r="J70" s="27">
        <v>1600</v>
      </c>
    </row>
    <row r="71" spans="1:10" x14ac:dyDescent="0.25">
      <c r="A71" s="26" t="s">
        <v>70</v>
      </c>
      <c r="B71" s="27">
        <v>0</v>
      </c>
      <c r="C71" s="27">
        <v>1</v>
      </c>
      <c r="D71" s="27">
        <v>2</v>
      </c>
      <c r="E71" s="27">
        <v>0</v>
      </c>
      <c r="F71" s="27">
        <v>0</v>
      </c>
      <c r="G71" s="27">
        <v>0</v>
      </c>
      <c r="H71" s="27">
        <v>0</v>
      </c>
      <c r="I71" s="27">
        <v>5500</v>
      </c>
      <c r="J71" s="27">
        <v>500</v>
      </c>
    </row>
    <row r="72" spans="1:10" x14ac:dyDescent="0.25">
      <c r="A72" s="26" t="s">
        <v>71</v>
      </c>
      <c r="B72" s="27">
        <v>0</v>
      </c>
      <c r="C72" s="27">
        <v>1</v>
      </c>
      <c r="D72" s="27">
        <v>1</v>
      </c>
      <c r="E72" s="27">
        <v>1</v>
      </c>
      <c r="F72" s="27">
        <v>0</v>
      </c>
      <c r="G72" s="27">
        <v>0</v>
      </c>
      <c r="H72" s="27">
        <v>0</v>
      </c>
      <c r="I72" s="27">
        <v>5310</v>
      </c>
      <c r="J72" s="27">
        <v>690</v>
      </c>
    </row>
    <row r="73" spans="1:10" x14ac:dyDescent="0.25">
      <c r="A73" s="26" t="s">
        <v>72</v>
      </c>
      <c r="B73" s="27">
        <v>0</v>
      </c>
      <c r="C73" s="27">
        <v>1</v>
      </c>
      <c r="D73" s="27">
        <v>1</v>
      </c>
      <c r="E73" s="27">
        <v>0</v>
      </c>
      <c r="F73" s="27">
        <v>1</v>
      </c>
      <c r="G73" s="27">
        <v>0</v>
      </c>
      <c r="H73" s="27">
        <v>1</v>
      </c>
      <c r="I73" s="27">
        <v>5970</v>
      </c>
      <c r="J73" s="27">
        <v>30</v>
      </c>
    </row>
    <row r="74" spans="1:10" x14ac:dyDescent="0.25">
      <c r="A74" s="26" t="s">
        <v>73</v>
      </c>
      <c r="B74" s="27">
        <v>0</v>
      </c>
      <c r="C74" s="27">
        <v>1</v>
      </c>
      <c r="D74" s="27">
        <v>1</v>
      </c>
      <c r="E74" s="27">
        <v>0</v>
      </c>
      <c r="F74" s="27">
        <v>1</v>
      </c>
      <c r="G74" s="27">
        <v>0</v>
      </c>
      <c r="H74" s="27">
        <v>0</v>
      </c>
      <c r="I74" s="27">
        <v>4990</v>
      </c>
      <c r="J74" s="27">
        <v>1010</v>
      </c>
    </row>
    <row r="75" spans="1:10" x14ac:dyDescent="0.25">
      <c r="A75" s="26" t="s">
        <v>74</v>
      </c>
      <c r="B75" s="27">
        <v>0</v>
      </c>
      <c r="C75" s="27">
        <v>1</v>
      </c>
      <c r="D75" s="27">
        <v>1</v>
      </c>
      <c r="E75" s="27">
        <v>0</v>
      </c>
      <c r="F75" s="27">
        <v>0</v>
      </c>
      <c r="G75" s="27">
        <v>1</v>
      </c>
      <c r="H75" s="27">
        <v>1</v>
      </c>
      <c r="I75" s="27">
        <v>5950</v>
      </c>
      <c r="J75" s="27">
        <v>50</v>
      </c>
    </row>
    <row r="76" spans="1:10" x14ac:dyDescent="0.25">
      <c r="A76" s="26" t="s">
        <v>75</v>
      </c>
      <c r="B76" s="27">
        <v>0</v>
      </c>
      <c r="C76" s="27">
        <v>1</v>
      </c>
      <c r="D76" s="27">
        <v>1</v>
      </c>
      <c r="E76" s="27">
        <v>0</v>
      </c>
      <c r="F76" s="27">
        <v>0</v>
      </c>
      <c r="G76" s="27">
        <v>1</v>
      </c>
      <c r="H76" s="27">
        <v>0</v>
      </c>
      <c r="I76" s="27">
        <v>4970</v>
      </c>
      <c r="J76" s="27">
        <v>1030</v>
      </c>
    </row>
    <row r="77" spans="1:10" x14ac:dyDescent="0.25">
      <c r="A77" s="26" t="s">
        <v>76</v>
      </c>
      <c r="B77" s="27">
        <v>0</v>
      </c>
      <c r="C77" s="27">
        <v>1</v>
      </c>
      <c r="D77" s="27">
        <v>1</v>
      </c>
      <c r="E77" s="27">
        <v>0</v>
      </c>
      <c r="F77" s="27">
        <v>0</v>
      </c>
      <c r="G77" s="27">
        <v>0</v>
      </c>
      <c r="H77" s="27">
        <v>2</v>
      </c>
      <c r="I77" s="27">
        <v>5810</v>
      </c>
      <c r="J77" s="27">
        <v>190</v>
      </c>
    </row>
    <row r="78" spans="1:10" x14ac:dyDescent="0.25">
      <c r="A78" s="26" t="s">
        <v>77</v>
      </c>
      <c r="B78" s="27">
        <v>0</v>
      </c>
      <c r="C78" s="27">
        <v>1</v>
      </c>
      <c r="D78" s="27">
        <v>1</v>
      </c>
      <c r="E78" s="27">
        <v>0</v>
      </c>
      <c r="F78" s="27">
        <v>0</v>
      </c>
      <c r="G78" s="27">
        <v>0</v>
      </c>
      <c r="H78" s="27">
        <v>1</v>
      </c>
      <c r="I78" s="27">
        <v>4830</v>
      </c>
      <c r="J78" s="27">
        <v>1170</v>
      </c>
    </row>
    <row r="79" spans="1:10" x14ac:dyDescent="0.25">
      <c r="A79" s="26" t="s">
        <v>78</v>
      </c>
      <c r="B79" s="27">
        <v>0</v>
      </c>
      <c r="C79" s="27">
        <v>1</v>
      </c>
      <c r="D79" s="27">
        <v>1</v>
      </c>
      <c r="E79" s="27">
        <v>0</v>
      </c>
      <c r="F79" s="27">
        <v>0</v>
      </c>
      <c r="G79" s="27">
        <v>0</v>
      </c>
      <c r="H79" s="27">
        <v>0</v>
      </c>
      <c r="I79" s="27">
        <v>3850</v>
      </c>
      <c r="J79" s="27">
        <v>2150</v>
      </c>
    </row>
    <row r="80" spans="1:10" x14ac:dyDescent="0.25">
      <c r="A80" s="26" t="s">
        <v>79</v>
      </c>
      <c r="B80" s="27">
        <v>0</v>
      </c>
      <c r="C80" s="27">
        <v>1</v>
      </c>
      <c r="D80" s="27">
        <v>0</v>
      </c>
      <c r="E80" s="27">
        <v>2</v>
      </c>
      <c r="F80" s="27">
        <v>0</v>
      </c>
      <c r="G80" s="27">
        <v>0</v>
      </c>
      <c r="H80" s="27">
        <v>0</v>
      </c>
      <c r="I80" s="27">
        <v>5120</v>
      </c>
      <c r="J80" s="27">
        <v>880</v>
      </c>
    </row>
    <row r="81" spans="1:10" x14ac:dyDescent="0.25">
      <c r="A81" s="26" t="s">
        <v>80</v>
      </c>
      <c r="B81" s="27">
        <v>0</v>
      </c>
      <c r="C81" s="27">
        <v>1</v>
      </c>
      <c r="D81" s="27">
        <v>0</v>
      </c>
      <c r="E81" s="27">
        <v>1</v>
      </c>
      <c r="F81" s="27">
        <v>2</v>
      </c>
      <c r="G81" s="27">
        <v>0</v>
      </c>
      <c r="H81" s="27">
        <v>0</v>
      </c>
      <c r="I81" s="27">
        <v>5940</v>
      </c>
      <c r="J81" s="27">
        <v>60</v>
      </c>
    </row>
    <row r="82" spans="1:10" x14ac:dyDescent="0.25">
      <c r="A82" s="26" t="s">
        <v>81</v>
      </c>
      <c r="B82" s="27">
        <v>0</v>
      </c>
      <c r="C82" s="27">
        <v>1</v>
      </c>
      <c r="D82" s="27">
        <v>0</v>
      </c>
      <c r="E82" s="27">
        <v>1</v>
      </c>
      <c r="F82" s="27">
        <v>1</v>
      </c>
      <c r="G82" s="27">
        <v>1</v>
      </c>
      <c r="H82" s="27">
        <v>0</v>
      </c>
      <c r="I82" s="27">
        <v>5920</v>
      </c>
      <c r="J82" s="27">
        <v>80</v>
      </c>
    </row>
    <row r="83" spans="1:10" x14ac:dyDescent="0.25">
      <c r="A83" s="26" t="s">
        <v>82</v>
      </c>
      <c r="B83" s="27">
        <v>0</v>
      </c>
      <c r="C83" s="27">
        <v>1</v>
      </c>
      <c r="D83" s="27">
        <v>0</v>
      </c>
      <c r="E83" s="27">
        <v>1</v>
      </c>
      <c r="F83" s="27">
        <v>1</v>
      </c>
      <c r="G83" s="27">
        <v>0</v>
      </c>
      <c r="H83" s="27">
        <v>1</v>
      </c>
      <c r="I83" s="27">
        <v>5780</v>
      </c>
      <c r="J83" s="27">
        <v>220</v>
      </c>
    </row>
    <row r="84" spans="1:10" x14ac:dyDescent="0.25">
      <c r="A84" s="26" t="s">
        <v>83</v>
      </c>
      <c r="B84" s="27">
        <v>0</v>
      </c>
      <c r="C84" s="27">
        <v>1</v>
      </c>
      <c r="D84" s="27">
        <v>0</v>
      </c>
      <c r="E84" s="27">
        <v>1</v>
      </c>
      <c r="F84" s="27">
        <v>1</v>
      </c>
      <c r="G84" s="27">
        <v>0</v>
      </c>
      <c r="H84" s="27">
        <v>0</v>
      </c>
      <c r="I84" s="27">
        <v>4800</v>
      </c>
      <c r="J84" s="27">
        <v>1200</v>
      </c>
    </row>
    <row r="85" spans="1:10" x14ac:dyDescent="0.25">
      <c r="A85" s="26" t="s">
        <v>84</v>
      </c>
      <c r="B85" s="27">
        <v>0</v>
      </c>
      <c r="C85" s="27">
        <v>1</v>
      </c>
      <c r="D85" s="27">
        <v>0</v>
      </c>
      <c r="E85" s="27">
        <v>1</v>
      </c>
      <c r="F85" s="27">
        <v>0</v>
      </c>
      <c r="G85" s="27">
        <v>2</v>
      </c>
      <c r="H85" s="27">
        <v>0</v>
      </c>
      <c r="I85" s="27">
        <v>5900</v>
      </c>
      <c r="J85" s="27">
        <v>100</v>
      </c>
    </row>
    <row r="86" spans="1:10" x14ac:dyDescent="0.25">
      <c r="A86" s="26" t="s">
        <v>85</v>
      </c>
      <c r="B86" s="27">
        <v>0</v>
      </c>
      <c r="C86" s="27">
        <v>1</v>
      </c>
      <c r="D86" s="27">
        <v>0</v>
      </c>
      <c r="E86" s="27">
        <v>1</v>
      </c>
      <c r="F86" s="27">
        <v>0</v>
      </c>
      <c r="G86" s="27">
        <v>1</v>
      </c>
      <c r="H86" s="27">
        <v>1</v>
      </c>
      <c r="I86" s="27">
        <v>5760</v>
      </c>
      <c r="J86" s="27">
        <v>240</v>
      </c>
    </row>
    <row r="87" spans="1:10" x14ac:dyDescent="0.25">
      <c r="A87" s="26" t="s">
        <v>86</v>
      </c>
      <c r="B87" s="27">
        <v>0</v>
      </c>
      <c r="C87" s="27">
        <v>1</v>
      </c>
      <c r="D87" s="27">
        <v>0</v>
      </c>
      <c r="E87" s="27">
        <v>1</v>
      </c>
      <c r="F87" s="27">
        <v>0</v>
      </c>
      <c r="G87" s="27">
        <v>1</v>
      </c>
      <c r="H87" s="27">
        <v>0</v>
      </c>
      <c r="I87" s="27">
        <v>4780</v>
      </c>
      <c r="J87" s="27">
        <v>1220</v>
      </c>
    </row>
    <row r="88" spans="1:10" x14ac:dyDescent="0.25">
      <c r="A88" s="26" t="s">
        <v>87</v>
      </c>
      <c r="B88" s="27">
        <v>0</v>
      </c>
      <c r="C88" s="27">
        <v>1</v>
      </c>
      <c r="D88" s="27">
        <v>0</v>
      </c>
      <c r="E88" s="27">
        <v>1</v>
      </c>
      <c r="F88" s="27">
        <v>0</v>
      </c>
      <c r="G88" s="27">
        <v>0</v>
      </c>
      <c r="H88" s="27">
        <v>2</v>
      </c>
      <c r="I88" s="27">
        <v>5620</v>
      </c>
      <c r="J88" s="27">
        <v>380</v>
      </c>
    </row>
    <row r="89" spans="1:10" x14ac:dyDescent="0.25">
      <c r="A89" s="26" t="s">
        <v>88</v>
      </c>
      <c r="B89" s="27">
        <v>0</v>
      </c>
      <c r="C89" s="27">
        <v>1</v>
      </c>
      <c r="D89" s="27">
        <v>0</v>
      </c>
      <c r="E89" s="27">
        <v>1</v>
      </c>
      <c r="F89" s="27">
        <v>0</v>
      </c>
      <c r="G89" s="27">
        <v>0</v>
      </c>
      <c r="H89" s="27">
        <v>1</v>
      </c>
      <c r="I89" s="27">
        <v>4640</v>
      </c>
      <c r="J89" s="27">
        <v>1360</v>
      </c>
    </row>
    <row r="90" spans="1:10" x14ac:dyDescent="0.25">
      <c r="A90" s="26" t="s">
        <v>89</v>
      </c>
      <c r="B90" s="27">
        <v>0</v>
      </c>
      <c r="C90" s="27">
        <v>1</v>
      </c>
      <c r="D90" s="27">
        <v>0</v>
      </c>
      <c r="E90" s="27">
        <v>1</v>
      </c>
      <c r="F90" s="27">
        <v>0</v>
      </c>
      <c r="G90" s="27">
        <v>0</v>
      </c>
      <c r="H90" s="27">
        <v>0</v>
      </c>
      <c r="I90" s="27">
        <v>3660</v>
      </c>
      <c r="J90" s="27">
        <v>2340</v>
      </c>
    </row>
    <row r="91" spans="1:10" x14ac:dyDescent="0.25">
      <c r="A91" s="26" t="s">
        <v>90</v>
      </c>
      <c r="B91" s="27">
        <v>0</v>
      </c>
      <c r="C91" s="27">
        <v>1</v>
      </c>
      <c r="D91" s="27">
        <v>0</v>
      </c>
      <c r="E91" s="27">
        <v>0</v>
      </c>
      <c r="F91" s="27">
        <v>3</v>
      </c>
      <c r="G91" s="27">
        <v>0</v>
      </c>
      <c r="H91" s="27">
        <v>0</v>
      </c>
      <c r="I91" s="27">
        <v>5620</v>
      </c>
      <c r="J91" s="27">
        <v>380</v>
      </c>
    </row>
    <row r="92" spans="1:10" x14ac:dyDescent="0.25">
      <c r="A92" s="26" t="s">
        <v>91</v>
      </c>
      <c r="B92" s="27">
        <v>0</v>
      </c>
      <c r="C92" s="27">
        <v>1</v>
      </c>
      <c r="D92" s="27">
        <v>0</v>
      </c>
      <c r="E92" s="27">
        <v>0</v>
      </c>
      <c r="F92" s="27">
        <v>2</v>
      </c>
      <c r="G92" s="27">
        <v>1</v>
      </c>
      <c r="H92" s="27">
        <v>0</v>
      </c>
      <c r="I92" s="27">
        <v>5600</v>
      </c>
      <c r="J92" s="27">
        <v>400</v>
      </c>
    </row>
    <row r="93" spans="1:10" x14ac:dyDescent="0.25">
      <c r="A93" s="26" t="s">
        <v>92</v>
      </c>
      <c r="B93" s="27">
        <v>0</v>
      </c>
      <c r="C93" s="27">
        <v>1</v>
      </c>
      <c r="D93" s="27">
        <v>0</v>
      </c>
      <c r="E93" s="27">
        <v>0</v>
      </c>
      <c r="F93" s="27">
        <v>2</v>
      </c>
      <c r="G93" s="27">
        <v>0</v>
      </c>
      <c r="H93" s="27">
        <v>1</v>
      </c>
      <c r="I93" s="27">
        <v>5460</v>
      </c>
      <c r="J93" s="27">
        <v>540</v>
      </c>
    </row>
    <row r="94" spans="1:10" x14ac:dyDescent="0.25">
      <c r="A94" s="26" t="s">
        <v>93</v>
      </c>
      <c r="B94" s="27">
        <v>0</v>
      </c>
      <c r="C94" s="27">
        <v>1</v>
      </c>
      <c r="D94" s="27">
        <v>0</v>
      </c>
      <c r="E94" s="27">
        <v>0</v>
      </c>
      <c r="F94" s="27">
        <v>2</v>
      </c>
      <c r="G94" s="27">
        <v>0</v>
      </c>
      <c r="H94" s="27">
        <v>0</v>
      </c>
      <c r="I94" s="27">
        <v>4480</v>
      </c>
      <c r="J94" s="27">
        <v>1520</v>
      </c>
    </row>
    <row r="95" spans="1:10" x14ac:dyDescent="0.25">
      <c r="A95" s="26" t="s">
        <v>94</v>
      </c>
      <c r="B95" s="27">
        <v>0</v>
      </c>
      <c r="C95" s="27">
        <v>1</v>
      </c>
      <c r="D95" s="27">
        <v>0</v>
      </c>
      <c r="E95" s="27">
        <v>0</v>
      </c>
      <c r="F95" s="27">
        <v>1</v>
      </c>
      <c r="G95" s="27">
        <v>2</v>
      </c>
      <c r="H95" s="27">
        <v>0</v>
      </c>
      <c r="I95" s="27">
        <v>5580</v>
      </c>
      <c r="J95" s="27">
        <v>420</v>
      </c>
    </row>
    <row r="96" spans="1:10" x14ac:dyDescent="0.25">
      <c r="A96" s="26" t="s">
        <v>95</v>
      </c>
      <c r="B96" s="27">
        <v>0</v>
      </c>
      <c r="C96" s="27">
        <v>1</v>
      </c>
      <c r="D96" s="27">
        <v>0</v>
      </c>
      <c r="E96" s="27">
        <v>0</v>
      </c>
      <c r="F96" s="27">
        <v>1</v>
      </c>
      <c r="G96" s="27">
        <v>1</v>
      </c>
      <c r="H96" s="27">
        <v>1</v>
      </c>
      <c r="I96" s="27">
        <v>5440</v>
      </c>
      <c r="J96" s="27">
        <v>560</v>
      </c>
    </row>
    <row r="97" spans="1:10" x14ac:dyDescent="0.25">
      <c r="A97" s="26" t="s">
        <v>96</v>
      </c>
      <c r="B97" s="27">
        <v>0</v>
      </c>
      <c r="C97" s="27">
        <v>1</v>
      </c>
      <c r="D97" s="27">
        <v>0</v>
      </c>
      <c r="E97" s="27">
        <v>0</v>
      </c>
      <c r="F97" s="27">
        <v>1</v>
      </c>
      <c r="G97" s="27">
        <v>1</v>
      </c>
      <c r="H97" s="27">
        <v>0</v>
      </c>
      <c r="I97" s="27">
        <v>4460</v>
      </c>
      <c r="J97" s="27">
        <v>1540</v>
      </c>
    </row>
    <row r="98" spans="1:10" x14ac:dyDescent="0.25">
      <c r="A98" s="26" t="s">
        <v>97</v>
      </c>
      <c r="B98" s="27">
        <v>0</v>
      </c>
      <c r="C98" s="27">
        <v>1</v>
      </c>
      <c r="D98" s="27">
        <v>0</v>
      </c>
      <c r="E98" s="27">
        <v>0</v>
      </c>
      <c r="F98" s="27">
        <v>1</v>
      </c>
      <c r="G98" s="27">
        <v>0</v>
      </c>
      <c r="H98" s="27">
        <v>2</v>
      </c>
      <c r="I98" s="27">
        <v>5300</v>
      </c>
      <c r="J98" s="27">
        <v>700</v>
      </c>
    </row>
    <row r="99" spans="1:10" x14ac:dyDescent="0.25">
      <c r="A99" s="26" t="s">
        <v>98</v>
      </c>
      <c r="B99" s="27">
        <v>0</v>
      </c>
      <c r="C99" s="27">
        <v>1</v>
      </c>
      <c r="D99" s="27">
        <v>0</v>
      </c>
      <c r="E99" s="27">
        <v>0</v>
      </c>
      <c r="F99" s="27">
        <v>1</v>
      </c>
      <c r="G99" s="27">
        <v>0</v>
      </c>
      <c r="H99" s="27">
        <v>1</v>
      </c>
      <c r="I99" s="27">
        <v>4320</v>
      </c>
      <c r="J99" s="27">
        <v>1680</v>
      </c>
    </row>
    <row r="100" spans="1:10" x14ac:dyDescent="0.25">
      <c r="A100" s="26" t="s">
        <v>99</v>
      </c>
      <c r="B100" s="27">
        <v>0</v>
      </c>
      <c r="C100" s="27">
        <v>1</v>
      </c>
      <c r="D100" s="27">
        <v>0</v>
      </c>
      <c r="E100" s="27">
        <v>0</v>
      </c>
      <c r="F100" s="27">
        <v>1</v>
      </c>
      <c r="G100" s="27">
        <v>0</v>
      </c>
      <c r="H100" s="27">
        <v>0</v>
      </c>
      <c r="I100" s="27">
        <v>3340</v>
      </c>
      <c r="J100" s="27">
        <v>2660</v>
      </c>
    </row>
    <row r="101" spans="1:10" x14ac:dyDescent="0.25">
      <c r="A101" s="26" t="s">
        <v>100</v>
      </c>
      <c r="B101" s="27">
        <v>0</v>
      </c>
      <c r="C101" s="27">
        <v>1</v>
      </c>
      <c r="D101" s="27">
        <v>0</v>
      </c>
      <c r="E101" s="27">
        <v>0</v>
      </c>
      <c r="F101" s="27">
        <v>0</v>
      </c>
      <c r="G101" s="27">
        <v>3</v>
      </c>
      <c r="H101" s="27">
        <v>0</v>
      </c>
      <c r="I101" s="27">
        <v>5560</v>
      </c>
      <c r="J101" s="27">
        <v>440</v>
      </c>
    </row>
    <row r="102" spans="1:10" x14ac:dyDescent="0.25">
      <c r="A102" s="26" t="s">
        <v>101</v>
      </c>
      <c r="B102" s="27">
        <v>0</v>
      </c>
      <c r="C102" s="27">
        <v>1</v>
      </c>
      <c r="D102" s="27">
        <v>0</v>
      </c>
      <c r="E102" s="27">
        <v>0</v>
      </c>
      <c r="F102" s="27">
        <v>0</v>
      </c>
      <c r="G102" s="27">
        <v>2</v>
      </c>
      <c r="H102" s="27">
        <v>1</v>
      </c>
      <c r="I102" s="27">
        <v>5420</v>
      </c>
      <c r="J102" s="27">
        <v>580</v>
      </c>
    </row>
    <row r="103" spans="1:10" x14ac:dyDescent="0.25">
      <c r="A103" s="26" t="s">
        <v>102</v>
      </c>
      <c r="B103" s="27">
        <v>0</v>
      </c>
      <c r="C103" s="27">
        <v>1</v>
      </c>
      <c r="D103" s="27">
        <v>0</v>
      </c>
      <c r="E103" s="27">
        <v>0</v>
      </c>
      <c r="F103" s="27">
        <v>0</v>
      </c>
      <c r="G103" s="27">
        <v>2</v>
      </c>
      <c r="H103" s="27">
        <v>0</v>
      </c>
      <c r="I103" s="27">
        <v>4440</v>
      </c>
      <c r="J103" s="27">
        <v>1560</v>
      </c>
    </row>
    <row r="104" spans="1:10" x14ac:dyDescent="0.25">
      <c r="A104" s="26" t="s">
        <v>103</v>
      </c>
      <c r="B104" s="27">
        <v>0</v>
      </c>
      <c r="C104" s="27">
        <v>1</v>
      </c>
      <c r="D104" s="27">
        <v>0</v>
      </c>
      <c r="E104" s="27">
        <v>0</v>
      </c>
      <c r="F104" s="27">
        <v>0</v>
      </c>
      <c r="G104" s="27">
        <v>1</v>
      </c>
      <c r="H104" s="27">
        <v>2</v>
      </c>
      <c r="I104" s="27">
        <v>5280</v>
      </c>
      <c r="J104" s="27">
        <v>720</v>
      </c>
    </row>
    <row r="105" spans="1:10" x14ac:dyDescent="0.25">
      <c r="A105" s="26" t="s">
        <v>104</v>
      </c>
      <c r="B105" s="27">
        <v>0</v>
      </c>
      <c r="C105" s="27">
        <v>1</v>
      </c>
      <c r="D105" s="27">
        <v>0</v>
      </c>
      <c r="E105" s="27">
        <v>0</v>
      </c>
      <c r="F105" s="27">
        <v>0</v>
      </c>
      <c r="G105" s="27">
        <v>1</v>
      </c>
      <c r="H105" s="27">
        <v>1</v>
      </c>
      <c r="I105" s="27">
        <v>4300</v>
      </c>
      <c r="J105" s="27">
        <v>1700</v>
      </c>
    </row>
    <row r="106" spans="1:10" x14ac:dyDescent="0.25">
      <c r="A106" s="26" t="s">
        <v>105</v>
      </c>
      <c r="B106" s="27">
        <v>0</v>
      </c>
      <c r="C106" s="27">
        <v>1</v>
      </c>
      <c r="D106" s="27">
        <v>0</v>
      </c>
      <c r="E106" s="27">
        <v>0</v>
      </c>
      <c r="F106" s="27">
        <v>0</v>
      </c>
      <c r="G106" s="27">
        <v>1</v>
      </c>
      <c r="H106" s="27">
        <v>0</v>
      </c>
      <c r="I106" s="27">
        <v>3320</v>
      </c>
      <c r="J106" s="27">
        <v>2680</v>
      </c>
    </row>
    <row r="107" spans="1:10" x14ac:dyDescent="0.25">
      <c r="A107" s="26" t="s">
        <v>106</v>
      </c>
      <c r="B107" s="27">
        <v>0</v>
      </c>
      <c r="C107" s="27">
        <v>1</v>
      </c>
      <c r="D107" s="27">
        <v>0</v>
      </c>
      <c r="E107" s="27">
        <v>0</v>
      </c>
      <c r="F107" s="27">
        <v>0</v>
      </c>
      <c r="G107" s="27">
        <v>0</v>
      </c>
      <c r="H107" s="27">
        <v>3</v>
      </c>
      <c r="I107" s="27">
        <v>5140</v>
      </c>
      <c r="J107" s="27">
        <v>860</v>
      </c>
    </row>
    <row r="108" spans="1:10" x14ac:dyDescent="0.25">
      <c r="A108" s="26" t="s">
        <v>107</v>
      </c>
      <c r="B108" s="27">
        <v>0</v>
      </c>
      <c r="C108" s="27">
        <v>1</v>
      </c>
      <c r="D108" s="27">
        <v>0</v>
      </c>
      <c r="E108" s="27">
        <v>0</v>
      </c>
      <c r="F108" s="27">
        <v>0</v>
      </c>
      <c r="G108" s="27">
        <v>0</v>
      </c>
      <c r="H108" s="27">
        <v>2</v>
      </c>
      <c r="I108" s="27">
        <v>4160</v>
      </c>
      <c r="J108" s="27">
        <v>1840</v>
      </c>
    </row>
    <row r="109" spans="1:10" x14ac:dyDescent="0.25">
      <c r="A109" s="26" t="s">
        <v>108</v>
      </c>
      <c r="B109" s="27">
        <v>0</v>
      </c>
      <c r="C109" s="27">
        <v>1</v>
      </c>
      <c r="D109" s="27">
        <v>0</v>
      </c>
      <c r="E109" s="27">
        <v>0</v>
      </c>
      <c r="F109" s="27">
        <v>0</v>
      </c>
      <c r="G109" s="27">
        <v>0</v>
      </c>
      <c r="H109" s="27">
        <v>1</v>
      </c>
      <c r="I109" s="27">
        <v>3180</v>
      </c>
      <c r="J109" s="27">
        <v>2820</v>
      </c>
    </row>
    <row r="110" spans="1:10" x14ac:dyDescent="0.25">
      <c r="A110" s="26" t="s">
        <v>109</v>
      </c>
      <c r="B110" s="27">
        <v>0</v>
      </c>
      <c r="C110" s="27">
        <v>1</v>
      </c>
      <c r="D110" s="27">
        <v>0</v>
      </c>
      <c r="E110" s="27">
        <v>0</v>
      </c>
      <c r="F110" s="27">
        <v>0</v>
      </c>
      <c r="G110" s="27">
        <v>0</v>
      </c>
      <c r="H110" s="27">
        <v>0</v>
      </c>
      <c r="I110" s="27">
        <v>2200</v>
      </c>
      <c r="J110" s="27">
        <v>3800</v>
      </c>
    </row>
    <row r="111" spans="1:10" x14ac:dyDescent="0.25">
      <c r="A111" s="26" t="s">
        <v>110</v>
      </c>
      <c r="B111" s="27">
        <v>0</v>
      </c>
      <c r="C111" s="27">
        <v>0</v>
      </c>
      <c r="D111" s="27">
        <v>3</v>
      </c>
      <c r="E111" s="27">
        <v>0</v>
      </c>
      <c r="F111" s="27">
        <v>0</v>
      </c>
      <c r="G111" s="27">
        <v>0</v>
      </c>
      <c r="H111" s="27">
        <v>1</v>
      </c>
      <c r="I111" s="27">
        <v>5930</v>
      </c>
      <c r="J111" s="27">
        <v>70</v>
      </c>
    </row>
    <row r="112" spans="1:10" x14ac:dyDescent="0.25">
      <c r="A112" s="26" t="s">
        <v>111</v>
      </c>
      <c r="B112" s="27">
        <v>0</v>
      </c>
      <c r="C112" s="27">
        <v>0</v>
      </c>
      <c r="D112" s="27">
        <v>3</v>
      </c>
      <c r="E112" s="27">
        <v>0</v>
      </c>
      <c r="F112" s="27">
        <v>0</v>
      </c>
      <c r="G112" s="27">
        <v>0</v>
      </c>
      <c r="H112" s="27">
        <v>0</v>
      </c>
      <c r="I112" s="27">
        <v>4950</v>
      </c>
      <c r="J112" s="27">
        <v>1050</v>
      </c>
    </row>
    <row r="113" spans="1:10" x14ac:dyDescent="0.25">
      <c r="A113" s="26" t="s">
        <v>112</v>
      </c>
      <c r="B113" s="27">
        <v>0</v>
      </c>
      <c r="C113" s="27">
        <v>0</v>
      </c>
      <c r="D113" s="27">
        <v>2</v>
      </c>
      <c r="E113" s="27">
        <v>1</v>
      </c>
      <c r="F113" s="27">
        <v>1</v>
      </c>
      <c r="G113" s="27">
        <v>0</v>
      </c>
      <c r="H113" s="27">
        <v>0</v>
      </c>
      <c r="I113" s="27">
        <v>5900</v>
      </c>
      <c r="J113" s="27">
        <v>100</v>
      </c>
    </row>
    <row r="114" spans="1:10" x14ac:dyDescent="0.25">
      <c r="A114" s="26" t="s">
        <v>113</v>
      </c>
      <c r="B114" s="27">
        <v>0</v>
      </c>
      <c r="C114" s="27">
        <v>0</v>
      </c>
      <c r="D114" s="27">
        <v>2</v>
      </c>
      <c r="E114" s="27">
        <v>1</v>
      </c>
      <c r="F114" s="27">
        <v>0</v>
      </c>
      <c r="G114" s="27">
        <v>1</v>
      </c>
      <c r="H114" s="27">
        <v>0</v>
      </c>
      <c r="I114" s="27">
        <v>5880</v>
      </c>
      <c r="J114" s="27">
        <v>120</v>
      </c>
    </row>
    <row r="115" spans="1:10" x14ac:dyDescent="0.25">
      <c r="A115" s="26" t="s">
        <v>114</v>
      </c>
      <c r="B115" s="27">
        <v>0</v>
      </c>
      <c r="C115" s="27">
        <v>0</v>
      </c>
      <c r="D115" s="27">
        <v>2</v>
      </c>
      <c r="E115" s="27">
        <v>1</v>
      </c>
      <c r="F115" s="27">
        <v>0</v>
      </c>
      <c r="G115" s="27">
        <v>0</v>
      </c>
      <c r="H115" s="27">
        <v>1</v>
      </c>
      <c r="I115" s="27">
        <v>5740</v>
      </c>
      <c r="J115" s="27">
        <v>260</v>
      </c>
    </row>
    <row r="116" spans="1:10" x14ac:dyDescent="0.25">
      <c r="A116" s="26" t="s">
        <v>115</v>
      </c>
      <c r="B116" s="27">
        <v>0</v>
      </c>
      <c r="C116" s="27">
        <v>0</v>
      </c>
      <c r="D116" s="27">
        <v>2</v>
      </c>
      <c r="E116" s="27">
        <v>1</v>
      </c>
      <c r="F116" s="27">
        <v>0</v>
      </c>
      <c r="G116" s="27">
        <v>0</v>
      </c>
      <c r="H116" s="27">
        <v>0</v>
      </c>
      <c r="I116" s="27">
        <v>4760</v>
      </c>
      <c r="J116" s="27">
        <v>1240</v>
      </c>
    </row>
    <row r="117" spans="1:10" x14ac:dyDescent="0.25">
      <c r="A117" s="26" t="s">
        <v>116</v>
      </c>
      <c r="B117" s="27">
        <v>0</v>
      </c>
      <c r="C117" s="27">
        <v>0</v>
      </c>
      <c r="D117" s="27">
        <v>2</v>
      </c>
      <c r="E117" s="27">
        <v>0</v>
      </c>
      <c r="F117" s="27">
        <v>2</v>
      </c>
      <c r="G117" s="27">
        <v>0</v>
      </c>
      <c r="H117" s="27">
        <v>0</v>
      </c>
      <c r="I117" s="27">
        <v>5580</v>
      </c>
      <c r="J117" s="27">
        <v>420</v>
      </c>
    </row>
    <row r="118" spans="1:10" x14ac:dyDescent="0.25">
      <c r="A118" s="26" t="s">
        <v>117</v>
      </c>
      <c r="B118" s="27">
        <v>0</v>
      </c>
      <c r="C118" s="27">
        <v>0</v>
      </c>
      <c r="D118" s="27">
        <v>2</v>
      </c>
      <c r="E118" s="27">
        <v>0</v>
      </c>
      <c r="F118" s="27">
        <v>1</v>
      </c>
      <c r="G118" s="27">
        <v>1</v>
      </c>
      <c r="H118" s="27">
        <v>0</v>
      </c>
      <c r="I118" s="27">
        <v>5560</v>
      </c>
      <c r="J118" s="27">
        <v>440</v>
      </c>
    </row>
    <row r="119" spans="1:10" x14ac:dyDescent="0.25">
      <c r="A119" s="26" t="s">
        <v>118</v>
      </c>
      <c r="B119" s="27">
        <v>0</v>
      </c>
      <c r="C119" s="27">
        <v>0</v>
      </c>
      <c r="D119" s="27">
        <v>2</v>
      </c>
      <c r="E119" s="27">
        <v>0</v>
      </c>
      <c r="F119" s="27">
        <v>1</v>
      </c>
      <c r="G119" s="27">
        <v>0</v>
      </c>
      <c r="H119" s="27">
        <v>1</v>
      </c>
      <c r="I119" s="27">
        <v>5420</v>
      </c>
      <c r="J119" s="27">
        <v>580</v>
      </c>
    </row>
    <row r="120" spans="1:10" x14ac:dyDescent="0.25">
      <c r="A120" s="26" t="s">
        <v>119</v>
      </c>
      <c r="B120" s="27">
        <v>0</v>
      </c>
      <c r="C120" s="27">
        <v>0</v>
      </c>
      <c r="D120" s="27">
        <v>2</v>
      </c>
      <c r="E120" s="27">
        <v>0</v>
      </c>
      <c r="F120" s="27">
        <v>1</v>
      </c>
      <c r="G120" s="27">
        <v>0</v>
      </c>
      <c r="H120" s="27">
        <v>0</v>
      </c>
      <c r="I120" s="27">
        <v>4440</v>
      </c>
      <c r="J120" s="27">
        <v>1560</v>
      </c>
    </row>
    <row r="121" spans="1:10" x14ac:dyDescent="0.25">
      <c r="A121" s="26" t="s">
        <v>120</v>
      </c>
      <c r="B121" s="27">
        <v>0</v>
      </c>
      <c r="C121" s="27">
        <v>0</v>
      </c>
      <c r="D121" s="27">
        <v>2</v>
      </c>
      <c r="E121" s="27">
        <v>0</v>
      </c>
      <c r="F121" s="27">
        <v>0</v>
      </c>
      <c r="G121" s="27">
        <v>2</v>
      </c>
      <c r="H121" s="27">
        <v>0</v>
      </c>
      <c r="I121" s="27">
        <v>5540</v>
      </c>
      <c r="J121" s="27">
        <v>460</v>
      </c>
    </row>
    <row r="122" spans="1:10" x14ac:dyDescent="0.25">
      <c r="A122" s="26" t="s">
        <v>121</v>
      </c>
      <c r="B122" s="27">
        <v>0</v>
      </c>
      <c r="C122" s="27">
        <v>0</v>
      </c>
      <c r="D122" s="27">
        <v>2</v>
      </c>
      <c r="E122" s="27">
        <v>0</v>
      </c>
      <c r="F122" s="27">
        <v>0</v>
      </c>
      <c r="G122" s="27">
        <v>1</v>
      </c>
      <c r="H122" s="27">
        <v>1</v>
      </c>
      <c r="I122" s="27">
        <v>5400</v>
      </c>
      <c r="J122" s="27">
        <v>600</v>
      </c>
    </row>
    <row r="123" spans="1:10" x14ac:dyDescent="0.25">
      <c r="A123" s="26" t="s">
        <v>122</v>
      </c>
      <c r="B123" s="27">
        <v>0</v>
      </c>
      <c r="C123" s="27">
        <v>0</v>
      </c>
      <c r="D123" s="27">
        <v>2</v>
      </c>
      <c r="E123" s="27">
        <v>0</v>
      </c>
      <c r="F123" s="27">
        <v>0</v>
      </c>
      <c r="G123" s="27">
        <v>1</v>
      </c>
      <c r="H123" s="27">
        <v>0</v>
      </c>
      <c r="I123" s="27">
        <v>4420</v>
      </c>
      <c r="J123" s="27">
        <v>1580</v>
      </c>
    </row>
    <row r="124" spans="1:10" x14ac:dyDescent="0.25">
      <c r="A124" s="26" t="s">
        <v>123</v>
      </c>
      <c r="B124" s="27">
        <v>0</v>
      </c>
      <c r="C124" s="27">
        <v>0</v>
      </c>
      <c r="D124" s="27">
        <v>2</v>
      </c>
      <c r="E124" s="27">
        <v>0</v>
      </c>
      <c r="F124" s="27">
        <v>0</v>
      </c>
      <c r="G124" s="27">
        <v>0</v>
      </c>
      <c r="H124" s="27">
        <v>2</v>
      </c>
      <c r="I124" s="27">
        <v>5260</v>
      </c>
      <c r="J124" s="27">
        <v>740</v>
      </c>
    </row>
    <row r="125" spans="1:10" x14ac:dyDescent="0.25">
      <c r="A125" s="26" t="s">
        <v>124</v>
      </c>
      <c r="B125" s="27">
        <v>0</v>
      </c>
      <c r="C125" s="27">
        <v>0</v>
      </c>
      <c r="D125" s="27">
        <v>2</v>
      </c>
      <c r="E125" s="27">
        <v>0</v>
      </c>
      <c r="F125" s="27">
        <v>0</v>
      </c>
      <c r="G125" s="27">
        <v>0</v>
      </c>
      <c r="H125" s="27">
        <v>1</v>
      </c>
      <c r="I125" s="27">
        <v>4280</v>
      </c>
      <c r="J125" s="27">
        <v>1720</v>
      </c>
    </row>
    <row r="126" spans="1:10" x14ac:dyDescent="0.25">
      <c r="A126" s="26" t="s">
        <v>125</v>
      </c>
      <c r="B126" s="27">
        <v>0</v>
      </c>
      <c r="C126" s="27">
        <v>0</v>
      </c>
      <c r="D126" s="27">
        <v>2</v>
      </c>
      <c r="E126" s="27">
        <v>0</v>
      </c>
      <c r="F126" s="27">
        <v>0</v>
      </c>
      <c r="G126" s="27">
        <v>0</v>
      </c>
      <c r="H126" s="27">
        <v>0</v>
      </c>
      <c r="I126" s="27">
        <v>3300</v>
      </c>
      <c r="J126" s="27">
        <v>2700</v>
      </c>
    </row>
    <row r="127" spans="1:10" x14ac:dyDescent="0.25">
      <c r="A127" s="26" t="s">
        <v>126</v>
      </c>
      <c r="B127" s="27">
        <v>0</v>
      </c>
      <c r="C127" s="27">
        <v>0</v>
      </c>
      <c r="D127" s="27">
        <v>1</v>
      </c>
      <c r="E127" s="27">
        <v>2</v>
      </c>
      <c r="F127" s="27">
        <v>1</v>
      </c>
      <c r="G127" s="27">
        <v>0</v>
      </c>
      <c r="H127" s="27">
        <v>0</v>
      </c>
      <c r="I127" s="27">
        <v>5710</v>
      </c>
      <c r="J127" s="27">
        <v>290</v>
      </c>
    </row>
    <row r="128" spans="1:10" x14ac:dyDescent="0.25">
      <c r="A128" s="26" t="s">
        <v>127</v>
      </c>
      <c r="B128" s="27">
        <v>0</v>
      </c>
      <c r="C128" s="27">
        <v>0</v>
      </c>
      <c r="D128" s="27">
        <v>1</v>
      </c>
      <c r="E128" s="27">
        <v>2</v>
      </c>
      <c r="F128" s="27">
        <v>0</v>
      </c>
      <c r="G128" s="27">
        <v>1</v>
      </c>
      <c r="H128" s="27">
        <v>0</v>
      </c>
      <c r="I128" s="27">
        <v>5690</v>
      </c>
      <c r="J128" s="27">
        <v>310</v>
      </c>
    </row>
    <row r="129" spans="1:10" x14ac:dyDescent="0.25">
      <c r="A129" s="26" t="s">
        <v>128</v>
      </c>
      <c r="B129" s="27">
        <v>0</v>
      </c>
      <c r="C129" s="27">
        <v>0</v>
      </c>
      <c r="D129" s="27">
        <v>1</v>
      </c>
      <c r="E129" s="27">
        <v>2</v>
      </c>
      <c r="F129" s="27">
        <v>0</v>
      </c>
      <c r="G129" s="27">
        <v>0</v>
      </c>
      <c r="H129" s="27">
        <v>1</v>
      </c>
      <c r="I129" s="27">
        <v>5550</v>
      </c>
      <c r="J129" s="27">
        <v>450</v>
      </c>
    </row>
    <row r="130" spans="1:10" x14ac:dyDescent="0.25">
      <c r="A130" s="26" t="s">
        <v>129</v>
      </c>
      <c r="B130" s="27">
        <v>0</v>
      </c>
      <c r="C130" s="27">
        <v>0</v>
      </c>
      <c r="D130" s="27">
        <v>1</v>
      </c>
      <c r="E130" s="27">
        <v>2</v>
      </c>
      <c r="F130" s="27">
        <v>0</v>
      </c>
      <c r="G130" s="27">
        <v>0</v>
      </c>
      <c r="H130" s="27">
        <v>0</v>
      </c>
      <c r="I130" s="27">
        <v>4570</v>
      </c>
      <c r="J130" s="27">
        <v>1430</v>
      </c>
    </row>
    <row r="131" spans="1:10" x14ac:dyDescent="0.25">
      <c r="A131" s="26" t="s">
        <v>130</v>
      </c>
      <c r="B131" s="27">
        <v>0</v>
      </c>
      <c r="C131" s="27">
        <v>0</v>
      </c>
      <c r="D131" s="27">
        <v>1</v>
      </c>
      <c r="E131" s="27">
        <v>1</v>
      </c>
      <c r="F131" s="27">
        <v>2</v>
      </c>
      <c r="G131" s="27">
        <v>0</v>
      </c>
      <c r="H131" s="27">
        <v>0</v>
      </c>
      <c r="I131" s="27">
        <v>5390</v>
      </c>
      <c r="J131" s="27">
        <v>610</v>
      </c>
    </row>
    <row r="132" spans="1:10" x14ac:dyDescent="0.25">
      <c r="A132" s="26" t="s">
        <v>131</v>
      </c>
      <c r="B132" s="27">
        <v>0</v>
      </c>
      <c r="C132" s="27">
        <v>0</v>
      </c>
      <c r="D132" s="27">
        <v>1</v>
      </c>
      <c r="E132" s="27">
        <v>1</v>
      </c>
      <c r="F132" s="27">
        <v>1</v>
      </c>
      <c r="G132" s="27">
        <v>1</v>
      </c>
      <c r="H132" s="27">
        <v>0</v>
      </c>
      <c r="I132" s="27">
        <v>5370</v>
      </c>
      <c r="J132" s="27">
        <v>630</v>
      </c>
    </row>
    <row r="133" spans="1:10" x14ac:dyDescent="0.25">
      <c r="A133" s="26" t="s">
        <v>132</v>
      </c>
      <c r="B133" s="27">
        <v>0</v>
      </c>
      <c r="C133" s="27">
        <v>0</v>
      </c>
      <c r="D133" s="27">
        <v>1</v>
      </c>
      <c r="E133" s="27">
        <v>1</v>
      </c>
      <c r="F133" s="27">
        <v>1</v>
      </c>
      <c r="G133" s="27">
        <v>0</v>
      </c>
      <c r="H133" s="27">
        <v>1</v>
      </c>
      <c r="I133" s="27">
        <v>5230</v>
      </c>
      <c r="J133" s="27">
        <v>770</v>
      </c>
    </row>
    <row r="134" spans="1:10" x14ac:dyDescent="0.25">
      <c r="A134" s="26" t="s">
        <v>133</v>
      </c>
      <c r="B134" s="27">
        <v>0</v>
      </c>
      <c r="C134" s="27">
        <v>0</v>
      </c>
      <c r="D134" s="27">
        <v>1</v>
      </c>
      <c r="E134" s="27">
        <v>1</v>
      </c>
      <c r="F134" s="27">
        <v>1</v>
      </c>
      <c r="G134" s="27">
        <v>0</v>
      </c>
      <c r="H134" s="27">
        <v>0</v>
      </c>
      <c r="I134" s="27">
        <v>4250</v>
      </c>
      <c r="J134" s="27">
        <v>1750</v>
      </c>
    </row>
    <row r="135" spans="1:10" x14ac:dyDescent="0.25">
      <c r="A135" s="26" t="s">
        <v>134</v>
      </c>
      <c r="B135" s="27">
        <v>0</v>
      </c>
      <c r="C135" s="27">
        <v>0</v>
      </c>
      <c r="D135" s="27">
        <v>1</v>
      </c>
      <c r="E135" s="27">
        <v>1</v>
      </c>
      <c r="F135" s="27">
        <v>0</v>
      </c>
      <c r="G135" s="27">
        <v>2</v>
      </c>
      <c r="H135" s="27">
        <v>0</v>
      </c>
      <c r="I135" s="27">
        <v>5350</v>
      </c>
      <c r="J135" s="27">
        <v>650</v>
      </c>
    </row>
    <row r="136" spans="1:10" x14ac:dyDescent="0.25">
      <c r="A136" s="26" t="s">
        <v>135</v>
      </c>
      <c r="B136" s="27">
        <v>0</v>
      </c>
      <c r="C136" s="27">
        <v>0</v>
      </c>
      <c r="D136" s="27">
        <v>1</v>
      </c>
      <c r="E136" s="27">
        <v>1</v>
      </c>
      <c r="F136" s="27">
        <v>0</v>
      </c>
      <c r="G136" s="27">
        <v>1</v>
      </c>
      <c r="H136" s="27">
        <v>1</v>
      </c>
      <c r="I136" s="27">
        <v>5210</v>
      </c>
      <c r="J136" s="27">
        <v>790</v>
      </c>
    </row>
    <row r="137" spans="1:10" x14ac:dyDescent="0.25">
      <c r="A137" s="26" t="s">
        <v>136</v>
      </c>
      <c r="B137" s="27">
        <v>0</v>
      </c>
      <c r="C137" s="27">
        <v>0</v>
      </c>
      <c r="D137" s="27">
        <v>1</v>
      </c>
      <c r="E137" s="27">
        <v>1</v>
      </c>
      <c r="F137" s="27">
        <v>0</v>
      </c>
      <c r="G137" s="27">
        <v>1</v>
      </c>
      <c r="H137" s="27">
        <v>0</v>
      </c>
      <c r="I137" s="27">
        <v>4230</v>
      </c>
      <c r="J137" s="27">
        <v>1770</v>
      </c>
    </row>
    <row r="138" spans="1:10" x14ac:dyDescent="0.25">
      <c r="A138" s="26" t="s">
        <v>137</v>
      </c>
      <c r="B138" s="27">
        <v>0</v>
      </c>
      <c r="C138" s="27">
        <v>0</v>
      </c>
      <c r="D138" s="27">
        <v>1</v>
      </c>
      <c r="E138" s="27">
        <v>1</v>
      </c>
      <c r="F138" s="27">
        <v>0</v>
      </c>
      <c r="G138" s="27">
        <v>0</v>
      </c>
      <c r="H138" s="27">
        <v>2</v>
      </c>
      <c r="I138" s="27">
        <v>5070</v>
      </c>
      <c r="J138" s="27">
        <v>930</v>
      </c>
    </row>
    <row r="139" spans="1:10" x14ac:dyDescent="0.25">
      <c r="A139" s="26" t="s">
        <v>138</v>
      </c>
      <c r="B139" s="27">
        <v>0</v>
      </c>
      <c r="C139" s="27">
        <v>0</v>
      </c>
      <c r="D139" s="27">
        <v>1</v>
      </c>
      <c r="E139" s="27">
        <v>1</v>
      </c>
      <c r="F139" s="27">
        <v>0</v>
      </c>
      <c r="G139" s="27">
        <v>0</v>
      </c>
      <c r="H139" s="27">
        <v>1</v>
      </c>
      <c r="I139" s="27">
        <v>4090</v>
      </c>
      <c r="J139" s="27">
        <v>1910</v>
      </c>
    </row>
    <row r="140" spans="1:10" x14ac:dyDescent="0.25">
      <c r="A140" s="26" t="s">
        <v>139</v>
      </c>
      <c r="B140" s="27">
        <v>0</v>
      </c>
      <c r="C140" s="27">
        <v>0</v>
      </c>
      <c r="D140" s="27">
        <v>1</v>
      </c>
      <c r="E140" s="27">
        <v>1</v>
      </c>
      <c r="F140" s="27">
        <v>0</v>
      </c>
      <c r="G140" s="27">
        <v>0</v>
      </c>
      <c r="H140" s="27">
        <v>0</v>
      </c>
      <c r="I140" s="27">
        <v>3110</v>
      </c>
      <c r="J140" s="27">
        <v>2890</v>
      </c>
    </row>
    <row r="141" spans="1:10" x14ac:dyDescent="0.25">
      <c r="A141" s="26" t="s">
        <v>140</v>
      </c>
      <c r="B141" s="27">
        <v>0</v>
      </c>
      <c r="C141" s="27">
        <v>0</v>
      </c>
      <c r="D141" s="27">
        <v>1</v>
      </c>
      <c r="E141" s="27">
        <v>0</v>
      </c>
      <c r="F141" s="27">
        <v>3</v>
      </c>
      <c r="G141" s="27">
        <v>0</v>
      </c>
      <c r="H141" s="27">
        <v>0</v>
      </c>
      <c r="I141" s="27">
        <v>5070</v>
      </c>
      <c r="J141" s="27">
        <v>930</v>
      </c>
    </row>
    <row r="142" spans="1:10" x14ac:dyDescent="0.25">
      <c r="A142" s="26" t="s">
        <v>141</v>
      </c>
      <c r="B142" s="27">
        <v>0</v>
      </c>
      <c r="C142" s="27">
        <v>0</v>
      </c>
      <c r="D142" s="27">
        <v>1</v>
      </c>
      <c r="E142" s="27">
        <v>0</v>
      </c>
      <c r="F142" s="27">
        <v>2</v>
      </c>
      <c r="G142" s="27">
        <v>1</v>
      </c>
      <c r="H142" s="27">
        <v>0</v>
      </c>
      <c r="I142" s="27">
        <v>5050</v>
      </c>
      <c r="J142" s="27">
        <v>950</v>
      </c>
    </row>
    <row r="143" spans="1:10" x14ac:dyDescent="0.25">
      <c r="A143" s="26" t="s">
        <v>142</v>
      </c>
      <c r="B143" s="27">
        <v>0</v>
      </c>
      <c r="C143" s="27">
        <v>0</v>
      </c>
      <c r="D143" s="27">
        <v>1</v>
      </c>
      <c r="E143" s="27">
        <v>0</v>
      </c>
      <c r="F143" s="27">
        <v>2</v>
      </c>
      <c r="G143" s="27">
        <v>0</v>
      </c>
      <c r="H143" s="27">
        <v>2</v>
      </c>
      <c r="I143" s="27">
        <v>5890</v>
      </c>
      <c r="J143" s="27">
        <v>110</v>
      </c>
    </row>
    <row r="144" spans="1:10" x14ac:dyDescent="0.25">
      <c r="A144" s="26" t="s">
        <v>143</v>
      </c>
      <c r="B144" s="27">
        <v>0</v>
      </c>
      <c r="C144" s="27">
        <v>0</v>
      </c>
      <c r="D144" s="27">
        <v>1</v>
      </c>
      <c r="E144" s="27">
        <v>0</v>
      </c>
      <c r="F144" s="27">
        <v>2</v>
      </c>
      <c r="G144" s="27">
        <v>0</v>
      </c>
      <c r="H144" s="27">
        <v>1</v>
      </c>
      <c r="I144" s="27">
        <v>4910</v>
      </c>
      <c r="J144" s="27">
        <v>1090</v>
      </c>
    </row>
    <row r="145" spans="1:10" x14ac:dyDescent="0.25">
      <c r="A145" s="26" t="s">
        <v>144</v>
      </c>
      <c r="B145" s="27">
        <v>0</v>
      </c>
      <c r="C145" s="27">
        <v>0</v>
      </c>
      <c r="D145" s="27">
        <v>1</v>
      </c>
      <c r="E145" s="27">
        <v>0</v>
      </c>
      <c r="F145" s="27">
        <v>2</v>
      </c>
      <c r="G145" s="27">
        <v>0</v>
      </c>
      <c r="H145" s="27">
        <v>0</v>
      </c>
      <c r="I145" s="27">
        <v>3930</v>
      </c>
      <c r="J145" s="27">
        <v>2070</v>
      </c>
    </row>
    <row r="146" spans="1:10" x14ac:dyDescent="0.25">
      <c r="A146" s="26" t="s">
        <v>145</v>
      </c>
      <c r="B146" s="27">
        <v>0</v>
      </c>
      <c r="C146" s="27">
        <v>0</v>
      </c>
      <c r="D146" s="27">
        <v>1</v>
      </c>
      <c r="E146" s="27">
        <v>0</v>
      </c>
      <c r="F146" s="27">
        <v>1</v>
      </c>
      <c r="G146" s="27">
        <v>2</v>
      </c>
      <c r="H146" s="27">
        <v>0</v>
      </c>
      <c r="I146" s="27">
        <v>5030</v>
      </c>
      <c r="J146" s="27">
        <v>970</v>
      </c>
    </row>
    <row r="147" spans="1:10" x14ac:dyDescent="0.25">
      <c r="A147" s="26" t="s">
        <v>146</v>
      </c>
      <c r="B147" s="27">
        <v>0</v>
      </c>
      <c r="C147" s="27">
        <v>0</v>
      </c>
      <c r="D147" s="27">
        <v>1</v>
      </c>
      <c r="E147" s="27">
        <v>0</v>
      </c>
      <c r="F147" s="27">
        <v>1</v>
      </c>
      <c r="G147" s="27">
        <v>1</v>
      </c>
      <c r="H147" s="27">
        <v>2</v>
      </c>
      <c r="I147" s="27">
        <v>5870</v>
      </c>
      <c r="J147" s="27">
        <v>130</v>
      </c>
    </row>
    <row r="148" spans="1:10" x14ac:dyDescent="0.25">
      <c r="A148" s="26" t="s">
        <v>147</v>
      </c>
      <c r="B148" s="27">
        <v>0</v>
      </c>
      <c r="C148" s="27">
        <v>0</v>
      </c>
      <c r="D148" s="27">
        <v>1</v>
      </c>
      <c r="E148" s="27">
        <v>0</v>
      </c>
      <c r="F148" s="27">
        <v>1</v>
      </c>
      <c r="G148" s="27">
        <v>1</v>
      </c>
      <c r="H148" s="27">
        <v>1</v>
      </c>
      <c r="I148" s="27">
        <v>4890</v>
      </c>
      <c r="J148" s="27">
        <v>1110</v>
      </c>
    </row>
    <row r="149" spans="1:10" x14ac:dyDescent="0.25">
      <c r="A149" s="26" t="s">
        <v>148</v>
      </c>
      <c r="B149" s="27">
        <v>0</v>
      </c>
      <c r="C149" s="27">
        <v>0</v>
      </c>
      <c r="D149" s="27">
        <v>1</v>
      </c>
      <c r="E149" s="27">
        <v>0</v>
      </c>
      <c r="F149" s="27">
        <v>1</v>
      </c>
      <c r="G149" s="27">
        <v>1</v>
      </c>
      <c r="H149" s="27">
        <v>0</v>
      </c>
      <c r="I149" s="27">
        <v>3910</v>
      </c>
      <c r="J149" s="27">
        <v>2090</v>
      </c>
    </row>
    <row r="150" spans="1:10" x14ac:dyDescent="0.25">
      <c r="A150" s="26" t="s">
        <v>149</v>
      </c>
      <c r="B150" s="27">
        <v>0</v>
      </c>
      <c r="C150" s="27">
        <v>0</v>
      </c>
      <c r="D150" s="27">
        <v>1</v>
      </c>
      <c r="E150" s="27">
        <v>0</v>
      </c>
      <c r="F150" s="27">
        <v>1</v>
      </c>
      <c r="G150" s="27">
        <v>0</v>
      </c>
      <c r="H150" s="27">
        <v>3</v>
      </c>
      <c r="I150" s="27">
        <v>5730</v>
      </c>
      <c r="J150" s="27">
        <v>270</v>
      </c>
    </row>
    <row r="151" spans="1:10" x14ac:dyDescent="0.25">
      <c r="A151" s="26" t="s">
        <v>150</v>
      </c>
      <c r="B151" s="27">
        <v>0</v>
      </c>
      <c r="C151" s="27">
        <v>0</v>
      </c>
      <c r="D151" s="27">
        <v>1</v>
      </c>
      <c r="E151" s="27">
        <v>0</v>
      </c>
      <c r="F151" s="27">
        <v>1</v>
      </c>
      <c r="G151" s="27">
        <v>0</v>
      </c>
      <c r="H151" s="27">
        <v>2</v>
      </c>
      <c r="I151" s="27">
        <v>4750</v>
      </c>
      <c r="J151" s="27">
        <v>1250</v>
      </c>
    </row>
    <row r="152" spans="1:10" x14ac:dyDescent="0.25">
      <c r="A152" s="26" t="s">
        <v>151</v>
      </c>
      <c r="B152" s="27">
        <v>0</v>
      </c>
      <c r="C152" s="27">
        <v>0</v>
      </c>
      <c r="D152" s="27">
        <v>1</v>
      </c>
      <c r="E152" s="27">
        <v>0</v>
      </c>
      <c r="F152" s="27">
        <v>1</v>
      </c>
      <c r="G152" s="27">
        <v>0</v>
      </c>
      <c r="H152" s="27">
        <v>1</v>
      </c>
      <c r="I152" s="27">
        <v>3770</v>
      </c>
      <c r="J152" s="27">
        <v>2230</v>
      </c>
    </row>
    <row r="153" spans="1:10" x14ac:dyDescent="0.25">
      <c r="A153" s="26" t="s">
        <v>152</v>
      </c>
      <c r="B153" s="27">
        <v>0</v>
      </c>
      <c r="C153" s="27">
        <v>0</v>
      </c>
      <c r="D153" s="27">
        <v>1</v>
      </c>
      <c r="E153" s="27">
        <v>0</v>
      </c>
      <c r="F153" s="27">
        <v>1</v>
      </c>
      <c r="G153" s="27">
        <v>0</v>
      </c>
      <c r="H153" s="27">
        <v>0</v>
      </c>
      <c r="I153" s="27">
        <v>2790</v>
      </c>
      <c r="J153" s="27">
        <v>3210</v>
      </c>
    </row>
    <row r="154" spans="1:10" x14ac:dyDescent="0.25">
      <c r="A154" s="26" t="s">
        <v>153</v>
      </c>
      <c r="B154" s="27">
        <v>0</v>
      </c>
      <c r="C154" s="27">
        <v>0</v>
      </c>
      <c r="D154" s="27">
        <v>1</v>
      </c>
      <c r="E154" s="27">
        <v>0</v>
      </c>
      <c r="F154" s="27">
        <v>0</v>
      </c>
      <c r="G154" s="27">
        <v>3</v>
      </c>
      <c r="H154" s="27">
        <v>1</v>
      </c>
      <c r="I154" s="27">
        <v>5990</v>
      </c>
      <c r="J154" s="27">
        <v>10</v>
      </c>
    </row>
    <row r="155" spans="1:10" x14ac:dyDescent="0.25">
      <c r="A155" s="26" t="s">
        <v>154</v>
      </c>
      <c r="B155" s="27">
        <v>0</v>
      </c>
      <c r="C155" s="27">
        <v>0</v>
      </c>
      <c r="D155" s="27">
        <v>1</v>
      </c>
      <c r="E155" s="27">
        <v>0</v>
      </c>
      <c r="F155" s="27">
        <v>0</v>
      </c>
      <c r="G155" s="27">
        <v>3</v>
      </c>
      <c r="H155" s="27">
        <v>0</v>
      </c>
      <c r="I155" s="27">
        <v>5010</v>
      </c>
      <c r="J155" s="27">
        <v>990</v>
      </c>
    </row>
    <row r="156" spans="1:10" x14ac:dyDescent="0.25">
      <c r="A156" s="26" t="s">
        <v>155</v>
      </c>
      <c r="B156" s="27">
        <v>0</v>
      </c>
      <c r="C156" s="27">
        <v>0</v>
      </c>
      <c r="D156" s="27">
        <v>1</v>
      </c>
      <c r="E156" s="27">
        <v>0</v>
      </c>
      <c r="F156" s="27">
        <v>0</v>
      </c>
      <c r="G156" s="27">
        <v>2</v>
      </c>
      <c r="H156" s="27">
        <v>2</v>
      </c>
      <c r="I156" s="27">
        <v>5850</v>
      </c>
      <c r="J156" s="27">
        <v>150</v>
      </c>
    </row>
    <row r="157" spans="1:10" x14ac:dyDescent="0.25">
      <c r="A157" s="26" t="s">
        <v>156</v>
      </c>
      <c r="B157" s="27">
        <v>0</v>
      </c>
      <c r="C157" s="27">
        <v>0</v>
      </c>
      <c r="D157" s="27">
        <v>1</v>
      </c>
      <c r="E157" s="27">
        <v>0</v>
      </c>
      <c r="F157" s="27">
        <v>0</v>
      </c>
      <c r="G157" s="27">
        <v>2</v>
      </c>
      <c r="H157" s="27">
        <v>1</v>
      </c>
      <c r="I157" s="27">
        <v>4870</v>
      </c>
      <c r="J157" s="27">
        <v>1130</v>
      </c>
    </row>
    <row r="158" spans="1:10" x14ac:dyDescent="0.25">
      <c r="A158" s="26" t="s">
        <v>157</v>
      </c>
      <c r="B158" s="27">
        <v>0</v>
      </c>
      <c r="C158" s="27">
        <v>0</v>
      </c>
      <c r="D158" s="27">
        <v>1</v>
      </c>
      <c r="E158" s="27">
        <v>0</v>
      </c>
      <c r="F158" s="27">
        <v>0</v>
      </c>
      <c r="G158" s="27">
        <v>2</v>
      </c>
      <c r="H158" s="27">
        <v>0</v>
      </c>
      <c r="I158" s="27">
        <v>3890</v>
      </c>
      <c r="J158" s="27">
        <v>2110</v>
      </c>
    </row>
    <row r="159" spans="1:10" x14ac:dyDescent="0.25">
      <c r="A159" s="26" t="s">
        <v>158</v>
      </c>
      <c r="B159" s="27">
        <v>0</v>
      </c>
      <c r="C159" s="27">
        <v>0</v>
      </c>
      <c r="D159" s="27">
        <v>1</v>
      </c>
      <c r="E159" s="27">
        <v>0</v>
      </c>
      <c r="F159" s="27">
        <v>0</v>
      </c>
      <c r="G159" s="27">
        <v>1</v>
      </c>
      <c r="H159" s="27">
        <v>3</v>
      </c>
      <c r="I159" s="27">
        <v>5710</v>
      </c>
      <c r="J159" s="27">
        <v>290</v>
      </c>
    </row>
    <row r="160" spans="1:10" x14ac:dyDescent="0.25">
      <c r="A160" s="26" t="s">
        <v>159</v>
      </c>
      <c r="B160" s="27">
        <v>0</v>
      </c>
      <c r="C160" s="27">
        <v>0</v>
      </c>
      <c r="D160" s="27">
        <v>1</v>
      </c>
      <c r="E160" s="27">
        <v>0</v>
      </c>
      <c r="F160" s="27">
        <v>0</v>
      </c>
      <c r="G160" s="27">
        <v>1</v>
      </c>
      <c r="H160" s="27">
        <v>2</v>
      </c>
      <c r="I160" s="27">
        <v>4730</v>
      </c>
      <c r="J160" s="27">
        <v>1270</v>
      </c>
    </row>
    <row r="161" spans="1:10" x14ac:dyDescent="0.25">
      <c r="A161" s="26" t="s">
        <v>160</v>
      </c>
      <c r="B161" s="27">
        <v>0</v>
      </c>
      <c r="C161" s="27">
        <v>0</v>
      </c>
      <c r="D161" s="27">
        <v>1</v>
      </c>
      <c r="E161" s="27">
        <v>0</v>
      </c>
      <c r="F161" s="27">
        <v>0</v>
      </c>
      <c r="G161" s="27">
        <v>1</v>
      </c>
      <c r="H161" s="27">
        <v>1</v>
      </c>
      <c r="I161" s="27">
        <v>3750</v>
      </c>
      <c r="J161" s="27">
        <v>2250</v>
      </c>
    </row>
    <row r="162" spans="1:10" x14ac:dyDescent="0.25">
      <c r="A162" s="26" t="s">
        <v>161</v>
      </c>
      <c r="B162" s="27">
        <v>0</v>
      </c>
      <c r="C162" s="27">
        <v>0</v>
      </c>
      <c r="D162" s="27">
        <v>1</v>
      </c>
      <c r="E162" s="27">
        <v>0</v>
      </c>
      <c r="F162" s="27">
        <v>0</v>
      </c>
      <c r="G162" s="27">
        <v>1</v>
      </c>
      <c r="H162" s="27">
        <v>0</v>
      </c>
      <c r="I162" s="27">
        <v>2770</v>
      </c>
      <c r="J162" s="27">
        <v>3230</v>
      </c>
    </row>
    <row r="163" spans="1:10" x14ac:dyDescent="0.25">
      <c r="A163" s="26" t="s">
        <v>162</v>
      </c>
      <c r="B163" s="27">
        <v>0</v>
      </c>
      <c r="C163" s="27">
        <v>0</v>
      </c>
      <c r="D163" s="27">
        <v>1</v>
      </c>
      <c r="E163" s="27">
        <v>0</v>
      </c>
      <c r="F163" s="27">
        <v>0</v>
      </c>
      <c r="G163" s="27">
        <v>0</v>
      </c>
      <c r="H163" s="27">
        <v>4</v>
      </c>
      <c r="I163" s="27">
        <v>5570</v>
      </c>
      <c r="J163" s="27">
        <v>430</v>
      </c>
    </row>
    <row r="164" spans="1:10" x14ac:dyDescent="0.25">
      <c r="A164" s="26" t="s">
        <v>163</v>
      </c>
      <c r="B164" s="27">
        <v>0</v>
      </c>
      <c r="C164" s="27">
        <v>0</v>
      </c>
      <c r="D164" s="27">
        <v>1</v>
      </c>
      <c r="E164" s="27">
        <v>0</v>
      </c>
      <c r="F164" s="27">
        <v>0</v>
      </c>
      <c r="G164" s="27">
        <v>0</v>
      </c>
      <c r="H164" s="27">
        <v>3</v>
      </c>
      <c r="I164" s="27">
        <v>4590</v>
      </c>
      <c r="J164" s="27">
        <v>1410</v>
      </c>
    </row>
    <row r="165" spans="1:10" x14ac:dyDescent="0.25">
      <c r="A165" s="26" t="s">
        <v>164</v>
      </c>
      <c r="B165" s="27">
        <v>0</v>
      </c>
      <c r="C165" s="27">
        <v>0</v>
      </c>
      <c r="D165" s="27">
        <v>1</v>
      </c>
      <c r="E165" s="27">
        <v>0</v>
      </c>
      <c r="F165" s="27">
        <v>0</v>
      </c>
      <c r="G165" s="27">
        <v>0</v>
      </c>
      <c r="H165" s="27">
        <v>2</v>
      </c>
      <c r="I165" s="27">
        <v>3610</v>
      </c>
      <c r="J165" s="27">
        <v>2390</v>
      </c>
    </row>
    <row r="166" spans="1:10" x14ac:dyDescent="0.25">
      <c r="A166" s="26" t="s">
        <v>165</v>
      </c>
      <c r="B166" s="27">
        <v>0</v>
      </c>
      <c r="C166" s="27">
        <v>0</v>
      </c>
      <c r="D166" s="27">
        <v>1</v>
      </c>
      <c r="E166" s="27">
        <v>0</v>
      </c>
      <c r="F166" s="27">
        <v>0</v>
      </c>
      <c r="G166" s="27">
        <v>0</v>
      </c>
      <c r="H166" s="27">
        <v>1</v>
      </c>
      <c r="I166" s="27">
        <v>2630</v>
      </c>
      <c r="J166" s="27">
        <v>3370</v>
      </c>
    </row>
    <row r="167" spans="1:10" x14ac:dyDescent="0.25">
      <c r="A167" s="26" t="s">
        <v>166</v>
      </c>
      <c r="B167" s="27">
        <v>0</v>
      </c>
      <c r="C167" s="27">
        <v>0</v>
      </c>
      <c r="D167" s="27">
        <v>1</v>
      </c>
      <c r="E167" s="27">
        <v>0</v>
      </c>
      <c r="F167" s="27">
        <v>0</v>
      </c>
      <c r="G167" s="27">
        <v>0</v>
      </c>
      <c r="H167" s="27">
        <v>0</v>
      </c>
      <c r="I167" s="27">
        <v>1650</v>
      </c>
      <c r="J167" s="27">
        <v>4350</v>
      </c>
    </row>
    <row r="168" spans="1:10" x14ac:dyDescent="0.25">
      <c r="A168" s="26" t="s">
        <v>167</v>
      </c>
      <c r="B168" s="27">
        <v>0</v>
      </c>
      <c r="C168" s="27">
        <v>0</v>
      </c>
      <c r="D168" s="27">
        <v>0</v>
      </c>
      <c r="E168" s="27">
        <v>4</v>
      </c>
      <c r="F168" s="27">
        <v>0</v>
      </c>
      <c r="G168" s="27">
        <v>0</v>
      </c>
      <c r="H168" s="27">
        <v>0</v>
      </c>
      <c r="I168" s="27">
        <v>5840</v>
      </c>
      <c r="J168" s="27">
        <v>160</v>
      </c>
    </row>
    <row r="169" spans="1:10" x14ac:dyDescent="0.25">
      <c r="A169" s="26" t="s">
        <v>168</v>
      </c>
      <c r="B169" s="27">
        <v>0</v>
      </c>
      <c r="C169" s="27">
        <v>0</v>
      </c>
      <c r="D169" s="27">
        <v>0</v>
      </c>
      <c r="E169" s="27">
        <v>3</v>
      </c>
      <c r="F169" s="27">
        <v>1</v>
      </c>
      <c r="G169" s="27">
        <v>0</v>
      </c>
      <c r="H169" s="27">
        <v>0</v>
      </c>
      <c r="I169" s="27">
        <v>5520</v>
      </c>
      <c r="J169" s="27">
        <v>480</v>
      </c>
    </row>
    <row r="170" spans="1:10" x14ac:dyDescent="0.25">
      <c r="A170" s="26" t="s">
        <v>169</v>
      </c>
      <c r="B170" s="27">
        <v>0</v>
      </c>
      <c r="C170" s="27">
        <v>0</v>
      </c>
      <c r="D170" s="27">
        <v>0</v>
      </c>
      <c r="E170" s="27">
        <v>3</v>
      </c>
      <c r="F170" s="27">
        <v>0</v>
      </c>
      <c r="G170" s="27">
        <v>1</v>
      </c>
      <c r="H170" s="27">
        <v>0</v>
      </c>
      <c r="I170" s="27">
        <v>5500</v>
      </c>
      <c r="J170" s="27">
        <v>500</v>
      </c>
    </row>
    <row r="171" spans="1:10" x14ac:dyDescent="0.25">
      <c r="A171" s="26" t="s">
        <v>170</v>
      </c>
      <c r="B171" s="27">
        <v>0</v>
      </c>
      <c r="C171" s="27">
        <v>0</v>
      </c>
      <c r="D171" s="27">
        <v>0</v>
      </c>
      <c r="E171" s="27">
        <v>3</v>
      </c>
      <c r="F171" s="27">
        <v>0</v>
      </c>
      <c r="G171" s="27">
        <v>0</v>
      </c>
      <c r="H171" s="27">
        <v>1</v>
      </c>
      <c r="I171" s="27">
        <v>5360</v>
      </c>
      <c r="J171" s="27">
        <v>640</v>
      </c>
    </row>
    <row r="172" spans="1:10" x14ac:dyDescent="0.25">
      <c r="A172" s="26" t="s">
        <v>171</v>
      </c>
      <c r="B172" s="27">
        <v>0</v>
      </c>
      <c r="C172" s="27">
        <v>0</v>
      </c>
      <c r="D172" s="27">
        <v>0</v>
      </c>
      <c r="E172" s="27">
        <v>3</v>
      </c>
      <c r="F172" s="27">
        <v>0</v>
      </c>
      <c r="G172" s="27">
        <v>0</v>
      </c>
      <c r="H172" s="27">
        <v>0</v>
      </c>
      <c r="I172" s="27">
        <v>4380</v>
      </c>
      <c r="J172" s="27">
        <v>1620</v>
      </c>
    </row>
    <row r="173" spans="1:10" x14ac:dyDescent="0.25">
      <c r="A173" s="26" t="s">
        <v>172</v>
      </c>
      <c r="B173" s="27">
        <v>0</v>
      </c>
      <c r="C173" s="27">
        <v>0</v>
      </c>
      <c r="D173" s="27">
        <v>0</v>
      </c>
      <c r="E173" s="27">
        <v>2</v>
      </c>
      <c r="F173" s="27">
        <v>2</v>
      </c>
      <c r="G173" s="27">
        <v>0</v>
      </c>
      <c r="H173" s="27">
        <v>0</v>
      </c>
      <c r="I173" s="27">
        <v>5200</v>
      </c>
      <c r="J173" s="27">
        <v>800</v>
      </c>
    </row>
    <row r="174" spans="1:10" x14ac:dyDescent="0.25">
      <c r="A174" s="26" t="s">
        <v>173</v>
      </c>
      <c r="B174" s="27">
        <v>0</v>
      </c>
      <c r="C174" s="27">
        <v>0</v>
      </c>
      <c r="D174" s="27">
        <v>0</v>
      </c>
      <c r="E174" s="27">
        <v>2</v>
      </c>
      <c r="F174" s="27">
        <v>1</v>
      </c>
      <c r="G174" s="27">
        <v>1</v>
      </c>
      <c r="H174" s="27">
        <v>0</v>
      </c>
      <c r="I174" s="27">
        <v>5180</v>
      </c>
      <c r="J174" s="27">
        <v>820</v>
      </c>
    </row>
    <row r="175" spans="1:10" x14ac:dyDescent="0.25">
      <c r="A175" s="26" t="s">
        <v>174</v>
      </c>
      <c r="B175" s="27">
        <v>0</v>
      </c>
      <c r="C175" s="27">
        <v>0</v>
      </c>
      <c r="D175" s="27">
        <v>0</v>
      </c>
      <c r="E175" s="27">
        <v>2</v>
      </c>
      <c r="F175" s="27">
        <v>1</v>
      </c>
      <c r="G175" s="27">
        <v>0</v>
      </c>
      <c r="H175" s="27">
        <v>1</v>
      </c>
      <c r="I175" s="27">
        <v>5040</v>
      </c>
      <c r="J175" s="27">
        <v>960</v>
      </c>
    </row>
    <row r="176" spans="1:10" x14ac:dyDescent="0.25">
      <c r="A176" s="26" t="s">
        <v>175</v>
      </c>
      <c r="B176" s="27">
        <v>0</v>
      </c>
      <c r="C176" s="27">
        <v>0</v>
      </c>
      <c r="D176" s="27">
        <v>0</v>
      </c>
      <c r="E176" s="27">
        <v>2</v>
      </c>
      <c r="F176" s="27">
        <v>1</v>
      </c>
      <c r="G176" s="27">
        <v>0</v>
      </c>
      <c r="H176" s="27">
        <v>0</v>
      </c>
      <c r="I176" s="27">
        <v>4060</v>
      </c>
      <c r="J176" s="27">
        <v>1940</v>
      </c>
    </row>
    <row r="177" spans="1:10" x14ac:dyDescent="0.25">
      <c r="A177" s="26" t="s">
        <v>176</v>
      </c>
      <c r="B177" s="27">
        <v>0</v>
      </c>
      <c r="C177" s="27">
        <v>0</v>
      </c>
      <c r="D177" s="27">
        <v>0</v>
      </c>
      <c r="E177" s="27">
        <v>2</v>
      </c>
      <c r="F177" s="27">
        <v>0</v>
      </c>
      <c r="G177" s="27">
        <v>2</v>
      </c>
      <c r="H177" s="27">
        <v>0</v>
      </c>
      <c r="I177" s="27">
        <v>5160</v>
      </c>
      <c r="J177" s="27">
        <v>840</v>
      </c>
    </row>
    <row r="178" spans="1:10" x14ac:dyDescent="0.25">
      <c r="A178" s="26" t="s">
        <v>177</v>
      </c>
      <c r="B178" s="27">
        <v>0</v>
      </c>
      <c r="C178" s="27">
        <v>0</v>
      </c>
      <c r="D178" s="27">
        <v>0</v>
      </c>
      <c r="E178" s="27">
        <v>2</v>
      </c>
      <c r="F178" s="27">
        <v>0</v>
      </c>
      <c r="G178" s="27">
        <v>1</v>
      </c>
      <c r="H178" s="27">
        <v>2</v>
      </c>
      <c r="I178" s="27">
        <v>6000</v>
      </c>
      <c r="J178" s="27">
        <v>0</v>
      </c>
    </row>
    <row r="179" spans="1:10" x14ac:dyDescent="0.25">
      <c r="A179" s="26" t="s">
        <v>178</v>
      </c>
      <c r="B179" s="27">
        <v>0</v>
      </c>
      <c r="C179" s="27">
        <v>0</v>
      </c>
      <c r="D179" s="27">
        <v>0</v>
      </c>
      <c r="E179" s="27">
        <v>2</v>
      </c>
      <c r="F179" s="27">
        <v>0</v>
      </c>
      <c r="G179" s="27">
        <v>1</v>
      </c>
      <c r="H179" s="27">
        <v>1</v>
      </c>
      <c r="I179" s="27">
        <v>5020</v>
      </c>
      <c r="J179" s="27">
        <v>980</v>
      </c>
    </row>
    <row r="180" spans="1:10" x14ac:dyDescent="0.25">
      <c r="A180" s="26" t="s">
        <v>179</v>
      </c>
      <c r="B180" s="27">
        <v>0</v>
      </c>
      <c r="C180" s="27">
        <v>0</v>
      </c>
      <c r="D180" s="27">
        <v>0</v>
      </c>
      <c r="E180" s="27">
        <v>2</v>
      </c>
      <c r="F180" s="27">
        <v>0</v>
      </c>
      <c r="G180" s="27">
        <v>1</v>
      </c>
      <c r="H180" s="27">
        <v>0</v>
      </c>
      <c r="I180" s="27">
        <v>4040</v>
      </c>
      <c r="J180" s="27">
        <v>1960</v>
      </c>
    </row>
    <row r="181" spans="1:10" x14ac:dyDescent="0.25">
      <c r="A181" s="26" t="s">
        <v>180</v>
      </c>
      <c r="B181" s="27">
        <v>0</v>
      </c>
      <c r="C181" s="27">
        <v>0</v>
      </c>
      <c r="D181" s="27">
        <v>0</v>
      </c>
      <c r="E181" s="27">
        <v>2</v>
      </c>
      <c r="F181" s="27">
        <v>0</v>
      </c>
      <c r="G181" s="27">
        <v>0</v>
      </c>
      <c r="H181" s="27">
        <v>3</v>
      </c>
      <c r="I181" s="27">
        <v>5860</v>
      </c>
      <c r="J181" s="27">
        <v>140</v>
      </c>
    </row>
    <row r="182" spans="1:10" x14ac:dyDescent="0.25">
      <c r="A182" s="26" t="s">
        <v>181</v>
      </c>
      <c r="B182" s="27">
        <v>0</v>
      </c>
      <c r="C182" s="27">
        <v>0</v>
      </c>
      <c r="D182" s="27">
        <v>0</v>
      </c>
      <c r="E182" s="27">
        <v>2</v>
      </c>
      <c r="F182" s="27">
        <v>0</v>
      </c>
      <c r="G182" s="27">
        <v>0</v>
      </c>
      <c r="H182" s="27">
        <v>2</v>
      </c>
      <c r="I182" s="27">
        <v>4880</v>
      </c>
      <c r="J182" s="27">
        <v>1120</v>
      </c>
    </row>
    <row r="183" spans="1:10" x14ac:dyDescent="0.25">
      <c r="A183" s="26" t="s">
        <v>182</v>
      </c>
      <c r="B183" s="27">
        <v>0</v>
      </c>
      <c r="C183" s="27">
        <v>0</v>
      </c>
      <c r="D183" s="27">
        <v>0</v>
      </c>
      <c r="E183" s="27">
        <v>2</v>
      </c>
      <c r="F183" s="27">
        <v>0</v>
      </c>
      <c r="G183" s="27">
        <v>0</v>
      </c>
      <c r="H183" s="27">
        <v>1</v>
      </c>
      <c r="I183" s="27">
        <v>3900</v>
      </c>
      <c r="J183" s="27">
        <v>2100</v>
      </c>
    </row>
    <row r="184" spans="1:10" x14ac:dyDescent="0.25">
      <c r="A184" s="26" t="s">
        <v>183</v>
      </c>
      <c r="B184" s="27">
        <v>0</v>
      </c>
      <c r="C184" s="27">
        <v>0</v>
      </c>
      <c r="D184" s="27">
        <v>0</v>
      </c>
      <c r="E184" s="27">
        <v>2</v>
      </c>
      <c r="F184" s="27">
        <v>0</v>
      </c>
      <c r="G184" s="27">
        <v>0</v>
      </c>
      <c r="H184" s="27">
        <v>0</v>
      </c>
      <c r="I184" s="27">
        <v>2920</v>
      </c>
      <c r="J184" s="27">
        <v>3080</v>
      </c>
    </row>
    <row r="185" spans="1:10" x14ac:dyDescent="0.25">
      <c r="A185" s="26" t="s">
        <v>184</v>
      </c>
      <c r="B185" s="27">
        <v>0</v>
      </c>
      <c r="C185" s="27">
        <v>0</v>
      </c>
      <c r="D185" s="27">
        <v>0</v>
      </c>
      <c r="E185" s="27">
        <v>1</v>
      </c>
      <c r="F185" s="27">
        <v>3</v>
      </c>
      <c r="G185" s="27">
        <v>1</v>
      </c>
      <c r="H185" s="27">
        <v>0</v>
      </c>
      <c r="I185" s="27">
        <v>6000</v>
      </c>
      <c r="J185" s="27">
        <v>0</v>
      </c>
    </row>
    <row r="186" spans="1:10" x14ac:dyDescent="0.25">
      <c r="A186" s="26" t="s">
        <v>185</v>
      </c>
      <c r="B186" s="27">
        <v>0</v>
      </c>
      <c r="C186" s="27">
        <v>0</v>
      </c>
      <c r="D186" s="27">
        <v>0</v>
      </c>
      <c r="E186" s="27">
        <v>1</v>
      </c>
      <c r="F186" s="27">
        <v>3</v>
      </c>
      <c r="G186" s="27">
        <v>0</v>
      </c>
      <c r="H186" s="27">
        <v>1</v>
      </c>
      <c r="I186" s="27">
        <v>5860</v>
      </c>
      <c r="J186" s="27">
        <v>140</v>
      </c>
    </row>
    <row r="187" spans="1:10" x14ac:dyDescent="0.25">
      <c r="A187" s="26" t="s">
        <v>186</v>
      </c>
      <c r="B187" s="27">
        <v>0</v>
      </c>
      <c r="C187" s="27">
        <v>0</v>
      </c>
      <c r="D187" s="27">
        <v>0</v>
      </c>
      <c r="E187" s="27">
        <v>1</v>
      </c>
      <c r="F187" s="27">
        <v>3</v>
      </c>
      <c r="G187" s="27">
        <v>0</v>
      </c>
      <c r="H187" s="27">
        <v>0</v>
      </c>
      <c r="I187" s="27">
        <v>4880</v>
      </c>
      <c r="J187" s="27">
        <v>1120</v>
      </c>
    </row>
    <row r="188" spans="1:10" x14ac:dyDescent="0.25">
      <c r="A188" s="26" t="s">
        <v>187</v>
      </c>
      <c r="B188" s="27">
        <v>0</v>
      </c>
      <c r="C188" s="27">
        <v>0</v>
      </c>
      <c r="D188" s="27">
        <v>0</v>
      </c>
      <c r="E188" s="27">
        <v>1</v>
      </c>
      <c r="F188" s="27">
        <v>2</v>
      </c>
      <c r="G188" s="27">
        <v>2</v>
      </c>
      <c r="H188" s="27">
        <v>0</v>
      </c>
      <c r="I188" s="27">
        <v>5980</v>
      </c>
      <c r="J188" s="27">
        <v>20</v>
      </c>
    </row>
    <row r="189" spans="1:10" x14ac:dyDescent="0.25">
      <c r="A189" s="26" t="s">
        <v>188</v>
      </c>
      <c r="B189" s="27">
        <v>0</v>
      </c>
      <c r="C189" s="27">
        <v>0</v>
      </c>
      <c r="D189" s="27">
        <v>0</v>
      </c>
      <c r="E189" s="27">
        <v>1</v>
      </c>
      <c r="F189" s="27">
        <v>2</v>
      </c>
      <c r="G189" s="27">
        <v>1</v>
      </c>
      <c r="H189" s="27">
        <v>1</v>
      </c>
      <c r="I189" s="27">
        <v>5840</v>
      </c>
      <c r="J189" s="27">
        <v>160</v>
      </c>
    </row>
    <row r="190" spans="1:10" x14ac:dyDescent="0.25">
      <c r="A190" s="26" t="s">
        <v>189</v>
      </c>
      <c r="B190" s="27">
        <v>0</v>
      </c>
      <c r="C190" s="27">
        <v>0</v>
      </c>
      <c r="D190" s="27">
        <v>0</v>
      </c>
      <c r="E190" s="27">
        <v>1</v>
      </c>
      <c r="F190" s="27">
        <v>2</v>
      </c>
      <c r="G190" s="27">
        <v>1</v>
      </c>
      <c r="H190" s="27">
        <v>0</v>
      </c>
      <c r="I190" s="27">
        <v>4860</v>
      </c>
      <c r="J190" s="27">
        <v>1140</v>
      </c>
    </row>
    <row r="191" spans="1:10" x14ac:dyDescent="0.25">
      <c r="A191" s="26" t="s">
        <v>190</v>
      </c>
      <c r="B191" s="27">
        <v>0</v>
      </c>
      <c r="C191" s="27">
        <v>0</v>
      </c>
      <c r="D191" s="27">
        <v>0</v>
      </c>
      <c r="E191" s="27">
        <v>1</v>
      </c>
      <c r="F191" s="27">
        <v>2</v>
      </c>
      <c r="G191" s="27">
        <v>0</v>
      </c>
      <c r="H191" s="27">
        <v>2</v>
      </c>
      <c r="I191" s="27">
        <v>5700</v>
      </c>
      <c r="J191" s="27">
        <v>300</v>
      </c>
    </row>
    <row r="192" spans="1:10" x14ac:dyDescent="0.25">
      <c r="A192" s="26" t="s">
        <v>191</v>
      </c>
      <c r="B192" s="27">
        <v>0</v>
      </c>
      <c r="C192" s="27">
        <v>0</v>
      </c>
      <c r="D192" s="27">
        <v>0</v>
      </c>
      <c r="E192" s="27">
        <v>1</v>
      </c>
      <c r="F192" s="27">
        <v>2</v>
      </c>
      <c r="G192" s="27">
        <v>0</v>
      </c>
      <c r="H192" s="27">
        <v>1</v>
      </c>
      <c r="I192" s="27">
        <v>4720</v>
      </c>
      <c r="J192" s="27">
        <v>1280</v>
      </c>
    </row>
    <row r="193" spans="1:10" x14ac:dyDescent="0.25">
      <c r="A193" s="26" t="s">
        <v>192</v>
      </c>
      <c r="B193" s="27">
        <v>0</v>
      </c>
      <c r="C193" s="27">
        <v>0</v>
      </c>
      <c r="D193" s="27">
        <v>0</v>
      </c>
      <c r="E193" s="27">
        <v>1</v>
      </c>
      <c r="F193" s="27">
        <v>2</v>
      </c>
      <c r="G193" s="27">
        <v>0</v>
      </c>
      <c r="H193" s="27">
        <v>0</v>
      </c>
      <c r="I193" s="27">
        <v>3740</v>
      </c>
      <c r="J193" s="27">
        <v>2260</v>
      </c>
    </row>
    <row r="194" spans="1:10" x14ac:dyDescent="0.25">
      <c r="A194" s="26" t="s">
        <v>193</v>
      </c>
      <c r="B194" s="27">
        <v>0</v>
      </c>
      <c r="C194" s="27">
        <v>0</v>
      </c>
      <c r="D194" s="27">
        <v>0</v>
      </c>
      <c r="E194" s="27">
        <v>1</v>
      </c>
      <c r="F194" s="27">
        <v>1</v>
      </c>
      <c r="G194" s="27">
        <v>3</v>
      </c>
      <c r="H194" s="27">
        <v>0</v>
      </c>
      <c r="I194" s="27">
        <v>5960</v>
      </c>
      <c r="J194" s="27">
        <v>40</v>
      </c>
    </row>
    <row r="195" spans="1:10" x14ac:dyDescent="0.25">
      <c r="A195" s="26" t="s">
        <v>194</v>
      </c>
      <c r="B195" s="27">
        <v>0</v>
      </c>
      <c r="C195" s="27">
        <v>0</v>
      </c>
      <c r="D195" s="27">
        <v>0</v>
      </c>
      <c r="E195" s="27">
        <v>1</v>
      </c>
      <c r="F195" s="27">
        <v>1</v>
      </c>
      <c r="G195" s="27">
        <v>2</v>
      </c>
      <c r="H195" s="27">
        <v>1</v>
      </c>
      <c r="I195" s="27">
        <v>5820</v>
      </c>
      <c r="J195" s="27">
        <v>180</v>
      </c>
    </row>
    <row r="196" spans="1:10" x14ac:dyDescent="0.25">
      <c r="A196" s="26" t="s">
        <v>195</v>
      </c>
      <c r="B196" s="27">
        <v>0</v>
      </c>
      <c r="C196" s="27">
        <v>0</v>
      </c>
      <c r="D196" s="27">
        <v>0</v>
      </c>
      <c r="E196" s="27">
        <v>1</v>
      </c>
      <c r="F196" s="27">
        <v>1</v>
      </c>
      <c r="G196" s="27">
        <v>2</v>
      </c>
      <c r="H196" s="27">
        <v>0</v>
      </c>
      <c r="I196" s="27">
        <v>4840</v>
      </c>
      <c r="J196" s="27">
        <v>1160</v>
      </c>
    </row>
    <row r="197" spans="1:10" x14ac:dyDescent="0.25">
      <c r="A197" s="26" t="s">
        <v>196</v>
      </c>
      <c r="B197" s="27">
        <v>0</v>
      </c>
      <c r="C197" s="27">
        <v>0</v>
      </c>
      <c r="D197" s="27">
        <v>0</v>
      </c>
      <c r="E197" s="27">
        <v>1</v>
      </c>
      <c r="F197" s="27">
        <v>1</v>
      </c>
      <c r="G197" s="27">
        <v>1</v>
      </c>
      <c r="H197" s="27">
        <v>2</v>
      </c>
      <c r="I197" s="27">
        <v>5680</v>
      </c>
      <c r="J197" s="27">
        <v>320</v>
      </c>
    </row>
    <row r="198" spans="1:10" x14ac:dyDescent="0.25">
      <c r="A198" s="26" t="s">
        <v>197</v>
      </c>
      <c r="B198" s="27">
        <v>0</v>
      </c>
      <c r="C198" s="27">
        <v>0</v>
      </c>
      <c r="D198" s="27">
        <v>0</v>
      </c>
      <c r="E198" s="27">
        <v>1</v>
      </c>
      <c r="F198" s="27">
        <v>1</v>
      </c>
      <c r="G198" s="27">
        <v>1</v>
      </c>
      <c r="H198" s="27">
        <v>1</v>
      </c>
      <c r="I198" s="27">
        <v>4700</v>
      </c>
      <c r="J198" s="27">
        <v>1300</v>
      </c>
    </row>
    <row r="199" spans="1:10" x14ac:dyDescent="0.25">
      <c r="A199" s="26" t="s">
        <v>198</v>
      </c>
      <c r="B199" s="27">
        <v>0</v>
      </c>
      <c r="C199" s="27">
        <v>0</v>
      </c>
      <c r="D199" s="27">
        <v>0</v>
      </c>
      <c r="E199" s="27">
        <v>1</v>
      </c>
      <c r="F199" s="27">
        <v>1</v>
      </c>
      <c r="G199" s="27">
        <v>1</v>
      </c>
      <c r="H199" s="27">
        <v>0</v>
      </c>
      <c r="I199" s="27">
        <v>3720</v>
      </c>
      <c r="J199" s="27">
        <v>2280</v>
      </c>
    </row>
    <row r="200" spans="1:10" x14ac:dyDescent="0.25">
      <c r="A200" s="26" t="s">
        <v>199</v>
      </c>
      <c r="B200" s="27">
        <v>0</v>
      </c>
      <c r="C200" s="27">
        <v>0</v>
      </c>
      <c r="D200" s="27">
        <v>0</v>
      </c>
      <c r="E200" s="27">
        <v>1</v>
      </c>
      <c r="F200" s="27">
        <v>1</v>
      </c>
      <c r="G200" s="27">
        <v>0</v>
      </c>
      <c r="H200" s="27">
        <v>3</v>
      </c>
      <c r="I200" s="27">
        <v>5540</v>
      </c>
      <c r="J200" s="27">
        <v>460</v>
      </c>
    </row>
    <row r="201" spans="1:10" x14ac:dyDescent="0.25">
      <c r="A201" s="26" t="s">
        <v>200</v>
      </c>
      <c r="B201" s="27">
        <v>0</v>
      </c>
      <c r="C201" s="27">
        <v>0</v>
      </c>
      <c r="D201" s="27">
        <v>0</v>
      </c>
      <c r="E201" s="27">
        <v>1</v>
      </c>
      <c r="F201" s="27">
        <v>1</v>
      </c>
      <c r="G201" s="27">
        <v>0</v>
      </c>
      <c r="H201" s="27">
        <v>2</v>
      </c>
      <c r="I201" s="27">
        <v>4560</v>
      </c>
      <c r="J201" s="27">
        <v>1440</v>
      </c>
    </row>
    <row r="202" spans="1:10" x14ac:dyDescent="0.25">
      <c r="A202" s="26" t="s">
        <v>201</v>
      </c>
      <c r="B202" s="27">
        <v>0</v>
      </c>
      <c r="C202" s="27">
        <v>0</v>
      </c>
      <c r="D202" s="27">
        <v>0</v>
      </c>
      <c r="E202" s="27">
        <v>1</v>
      </c>
      <c r="F202" s="27">
        <v>1</v>
      </c>
      <c r="G202" s="27">
        <v>0</v>
      </c>
      <c r="H202" s="27">
        <v>1</v>
      </c>
      <c r="I202" s="27">
        <v>3580</v>
      </c>
      <c r="J202" s="27">
        <v>2420</v>
      </c>
    </row>
    <row r="203" spans="1:10" x14ac:dyDescent="0.25">
      <c r="A203" s="26" t="s">
        <v>202</v>
      </c>
      <c r="B203" s="27">
        <v>0</v>
      </c>
      <c r="C203" s="27">
        <v>0</v>
      </c>
      <c r="D203" s="27">
        <v>0</v>
      </c>
      <c r="E203" s="27">
        <v>1</v>
      </c>
      <c r="F203" s="27">
        <v>1</v>
      </c>
      <c r="G203" s="27">
        <v>0</v>
      </c>
      <c r="H203" s="27">
        <v>0</v>
      </c>
      <c r="I203" s="27">
        <v>2600</v>
      </c>
      <c r="J203" s="27">
        <v>3400</v>
      </c>
    </row>
    <row r="204" spans="1:10" x14ac:dyDescent="0.25">
      <c r="A204" s="26" t="s">
        <v>203</v>
      </c>
      <c r="B204" s="27">
        <v>0</v>
      </c>
      <c r="C204" s="27">
        <v>0</v>
      </c>
      <c r="D204" s="27">
        <v>0</v>
      </c>
      <c r="E204" s="27">
        <v>1</v>
      </c>
      <c r="F204" s="27">
        <v>0</v>
      </c>
      <c r="G204" s="27">
        <v>4</v>
      </c>
      <c r="H204" s="27">
        <v>0</v>
      </c>
      <c r="I204" s="27">
        <v>5940</v>
      </c>
      <c r="J204" s="27">
        <v>60</v>
      </c>
    </row>
    <row r="205" spans="1:10" x14ac:dyDescent="0.25">
      <c r="A205" s="26" t="s">
        <v>204</v>
      </c>
      <c r="B205" s="27">
        <v>0</v>
      </c>
      <c r="C205" s="27">
        <v>0</v>
      </c>
      <c r="D205" s="27">
        <v>0</v>
      </c>
      <c r="E205" s="27">
        <v>1</v>
      </c>
      <c r="F205" s="27">
        <v>0</v>
      </c>
      <c r="G205" s="27">
        <v>3</v>
      </c>
      <c r="H205" s="27">
        <v>1</v>
      </c>
      <c r="I205" s="27">
        <v>5800</v>
      </c>
      <c r="J205" s="27">
        <v>200</v>
      </c>
    </row>
    <row r="206" spans="1:10" x14ac:dyDescent="0.25">
      <c r="A206" s="26" t="s">
        <v>205</v>
      </c>
      <c r="B206" s="27">
        <v>0</v>
      </c>
      <c r="C206" s="27">
        <v>0</v>
      </c>
      <c r="D206" s="27">
        <v>0</v>
      </c>
      <c r="E206" s="27">
        <v>1</v>
      </c>
      <c r="F206" s="27">
        <v>0</v>
      </c>
      <c r="G206" s="27">
        <v>3</v>
      </c>
      <c r="H206" s="27">
        <v>0</v>
      </c>
      <c r="I206" s="27">
        <v>4820</v>
      </c>
      <c r="J206" s="27">
        <v>1180</v>
      </c>
    </row>
    <row r="207" spans="1:10" x14ac:dyDescent="0.25">
      <c r="A207" s="26" t="s">
        <v>206</v>
      </c>
      <c r="B207" s="27">
        <v>0</v>
      </c>
      <c r="C207" s="27">
        <v>0</v>
      </c>
      <c r="D207" s="27">
        <v>0</v>
      </c>
      <c r="E207" s="27">
        <v>1</v>
      </c>
      <c r="F207" s="27">
        <v>0</v>
      </c>
      <c r="G207" s="27">
        <v>2</v>
      </c>
      <c r="H207" s="27">
        <v>2</v>
      </c>
      <c r="I207" s="27">
        <v>5660</v>
      </c>
      <c r="J207" s="27">
        <v>340</v>
      </c>
    </row>
    <row r="208" spans="1:10" x14ac:dyDescent="0.25">
      <c r="A208" s="26" t="s">
        <v>207</v>
      </c>
      <c r="B208" s="27">
        <v>0</v>
      </c>
      <c r="C208" s="27">
        <v>0</v>
      </c>
      <c r="D208" s="27">
        <v>0</v>
      </c>
      <c r="E208" s="27">
        <v>1</v>
      </c>
      <c r="F208" s="27">
        <v>0</v>
      </c>
      <c r="G208" s="27">
        <v>2</v>
      </c>
      <c r="H208" s="27">
        <v>1</v>
      </c>
      <c r="I208" s="27">
        <v>4680</v>
      </c>
      <c r="J208" s="27">
        <v>1320</v>
      </c>
    </row>
    <row r="209" spans="1:10" x14ac:dyDescent="0.25">
      <c r="A209" s="26" t="s">
        <v>208</v>
      </c>
      <c r="B209" s="27">
        <v>0</v>
      </c>
      <c r="C209" s="27">
        <v>0</v>
      </c>
      <c r="D209" s="27">
        <v>0</v>
      </c>
      <c r="E209" s="27">
        <v>1</v>
      </c>
      <c r="F209" s="27">
        <v>0</v>
      </c>
      <c r="G209" s="27">
        <v>2</v>
      </c>
      <c r="H209" s="27">
        <v>0</v>
      </c>
      <c r="I209" s="27">
        <v>3700</v>
      </c>
      <c r="J209" s="27">
        <v>2300</v>
      </c>
    </row>
    <row r="210" spans="1:10" x14ac:dyDescent="0.25">
      <c r="A210" s="26" t="s">
        <v>209</v>
      </c>
      <c r="B210" s="27">
        <v>0</v>
      </c>
      <c r="C210" s="27">
        <v>0</v>
      </c>
      <c r="D210" s="27">
        <v>0</v>
      </c>
      <c r="E210" s="27">
        <v>1</v>
      </c>
      <c r="F210" s="27">
        <v>0</v>
      </c>
      <c r="G210" s="27">
        <v>1</v>
      </c>
      <c r="H210" s="27">
        <v>3</v>
      </c>
      <c r="I210" s="27">
        <v>5520</v>
      </c>
      <c r="J210" s="27">
        <v>480</v>
      </c>
    </row>
    <row r="211" spans="1:10" x14ac:dyDescent="0.25">
      <c r="A211" s="26" t="s">
        <v>210</v>
      </c>
      <c r="B211" s="27">
        <v>0</v>
      </c>
      <c r="C211" s="27">
        <v>0</v>
      </c>
      <c r="D211" s="27">
        <v>0</v>
      </c>
      <c r="E211" s="27">
        <v>1</v>
      </c>
      <c r="F211" s="27">
        <v>0</v>
      </c>
      <c r="G211" s="27">
        <v>1</v>
      </c>
      <c r="H211" s="27">
        <v>2</v>
      </c>
      <c r="I211" s="27">
        <v>4540</v>
      </c>
      <c r="J211" s="27">
        <v>1460</v>
      </c>
    </row>
    <row r="212" spans="1:10" x14ac:dyDescent="0.25">
      <c r="A212" s="26" t="s">
        <v>211</v>
      </c>
      <c r="B212" s="27">
        <v>0</v>
      </c>
      <c r="C212" s="27">
        <v>0</v>
      </c>
      <c r="D212" s="27">
        <v>0</v>
      </c>
      <c r="E212" s="27">
        <v>1</v>
      </c>
      <c r="F212" s="27">
        <v>0</v>
      </c>
      <c r="G212" s="27">
        <v>1</v>
      </c>
      <c r="H212" s="27">
        <v>1</v>
      </c>
      <c r="I212" s="27">
        <v>3560</v>
      </c>
      <c r="J212" s="27">
        <v>2440</v>
      </c>
    </row>
    <row r="213" spans="1:10" x14ac:dyDescent="0.25">
      <c r="A213" s="26" t="s">
        <v>212</v>
      </c>
      <c r="B213" s="27">
        <v>0</v>
      </c>
      <c r="C213" s="27">
        <v>0</v>
      </c>
      <c r="D213" s="27">
        <v>0</v>
      </c>
      <c r="E213" s="27">
        <v>1</v>
      </c>
      <c r="F213" s="27">
        <v>0</v>
      </c>
      <c r="G213" s="27">
        <v>1</v>
      </c>
      <c r="H213" s="27">
        <v>0</v>
      </c>
      <c r="I213" s="27">
        <v>2580</v>
      </c>
      <c r="J213" s="27">
        <v>3420</v>
      </c>
    </row>
    <row r="214" spans="1:10" x14ac:dyDescent="0.25">
      <c r="A214" s="26" t="s">
        <v>213</v>
      </c>
      <c r="B214" s="27">
        <v>0</v>
      </c>
      <c r="C214" s="27">
        <v>0</v>
      </c>
      <c r="D214" s="27">
        <v>0</v>
      </c>
      <c r="E214" s="27">
        <v>1</v>
      </c>
      <c r="F214" s="27">
        <v>0</v>
      </c>
      <c r="G214" s="27">
        <v>0</v>
      </c>
      <c r="H214" s="27">
        <v>4</v>
      </c>
      <c r="I214" s="27">
        <v>5380</v>
      </c>
      <c r="J214" s="27">
        <v>620</v>
      </c>
    </row>
    <row r="215" spans="1:10" x14ac:dyDescent="0.25">
      <c r="A215" s="26" t="s">
        <v>214</v>
      </c>
      <c r="B215" s="27">
        <v>0</v>
      </c>
      <c r="C215" s="27">
        <v>0</v>
      </c>
      <c r="D215" s="27">
        <v>0</v>
      </c>
      <c r="E215" s="27">
        <v>1</v>
      </c>
      <c r="F215" s="27">
        <v>0</v>
      </c>
      <c r="G215" s="27">
        <v>0</v>
      </c>
      <c r="H215" s="27">
        <v>3</v>
      </c>
      <c r="I215" s="27">
        <v>4400</v>
      </c>
      <c r="J215" s="27">
        <v>1600</v>
      </c>
    </row>
    <row r="216" spans="1:10" x14ac:dyDescent="0.25">
      <c r="A216" s="26" t="s">
        <v>215</v>
      </c>
      <c r="B216" s="27">
        <v>0</v>
      </c>
      <c r="C216" s="27">
        <v>0</v>
      </c>
      <c r="D216" s="27">
        <v>0</v>
      </c>
      <c r="E216" s="27">
        <v>1</v>
      </c>
      <c r="F216" s="27">
        <v>0</v>
      </c>
      <c r="G216" s="27">
        <v>0</v>
      </c>
      <c r="H216" s="27">
        <v>2</v>
      </c>
      <c r="I216" s="27">
        <v>3420</v>
      </c>
      <c r="J216" s="27">
        <v>2580</v>
      </c>
    </row>
    <row r="217" spans="1:10" x14ac:dyDescent="0.25">
      <c r="A217" s="26" t="s">
        <v>216</v>
      </c>
      <c r="B217" s="27">
        <v>0</v>
      </c>
      <c r="C217" s="27">
        <v>0</v>
      </c>
      <c r="D217" s="27">
        <v>0</v>
      </c>
      <c r="E217" s="27">
        <v>1</v>
      </c>
      <c r="F217" s="27">
        <v>0</v>
      </c>
      <c r="G217" s="27">
        <v>0</v>
      </c>
      <c r="H217" s="27">
        <v>1</v>
      </c>
      <c r="I217" s="27">
        <v>2440</v>
      </c>
      <c r="J217" s="27">
        <v>3560</v>
      </c>
    </row>
    <row r="218" spans="1:10" x14ac:dyDescent="0.25">
      <c r="A218" s="26" t="s">
        <v>217</v>
      </c>
      <c r="B218" s="27">
        <v>0</v>
      </c>
      <c r="C218" s="27">
        <v>0</v>
      </c>
      <c r="D218" s="27">
        <v>0</v>
      </c>
      <c r="E218" s="27">
        <v>1</v>
      </c>
      <c r="F218" s="27">
        <v>0</v>
      </c>
      <c r="G218" s="27">
        <v>0</v>
      </c>
      <c r="H218" s="27">
        <v>0</v>
      </c>
      <c r="I218" s="27">
        <v>1460</v>
      </c>
      <c r="J218" s="27">
        <v>4540</v>
      </c>
    </row>
    <row r="219" spans="1:10" x14ac:dyDescent="0.25">
      <c r="A219" s="26" t="s">
        <v>218</v>
      </c>
      <c r="B219" s="27">
        <v>0</v>
      </c>
      <c r="C219" s="27">
        <v>0</v>
      </c>
      <c r="D219" s="27">
        <v>0</v>
      </c>
      <c r="E219" s="27">
        <v>0</v>
      </c>
      <c r="F219" s="27">
        <v>5</v>
      </c>
      <c r="G219" s="27">
        <v>0</v>
      </c>
      <c r="H219" s="27">
        <v>0</v>
      </c>
      <c r="I219" s="27">
        <v>5700</v>
      </c>
      <c r="J219" s="27">
        <v>300</v>
      </c>
    </row>
    <row r="220" spans="1:10" x14ac:dyDescent="0.25">
      <c r="A220" s="26" t="s">
        <v>219</v>
      </c>
      <c r="B220" s="27">
        <v>0</v>
      </c>
      <c r="C220" s="27">
        <v>0</v>
      </c>
      <c r="D220" s="27">
        <v>0</v>
      </c>
      <c r="E220" s="27">
        <v>0</v>
      </c>
      <c r="F220" s="27">
        <v>4</v>
      </c>
      <c r="G220" s="27">
        <v>1</v>
      </c>
      <c r="H220" s="27">
        <v>0</v>
      </c>
      <c r="I220" s="27">
        <v>5680</v>
      </c>
      <c r="J220" s="27">
        <v>320</v>
      </c>
    </row>
    <row r="221" spans="1:10" x14ac:dyDescent="0.25">
      <c r="A221" s="26" t="s">
        <v>220</v>
      </c>
      <c r="B221" s="27">
        <v>0</v>
      </c>
      <c r="C221" s="27">
        <v>0</v>
      </c>
      <c r="D221" s="27">
        <v>0</v>
      </c>
      <c r="E221" s="27">
        <v>0</v>
      </c>
      <c r="F221" s="27">
        <v>4</v>
      </c>
      <c r="G221" s="27">
        <v>0</v>
      </c>
      <c r="H221" s="27">
        <v>1</v>
      </c>
      <c r="I221" s="27">
        <v>5540</v>
      </c>
      <c r="J221" s="27">
        <v>460</v>
      </c>
    </row>
    <row r="222" spans="1:10" x14ac:dyDescent="0.25">
      <c r="A222" s="26" t="s">
        <v>221</v>
      </c>
      <c r="B222" s="27">
        <v>0</v>
      </c>
      <c r="C222" s="27">
        <v>0</v>
      </c>
      <c r="D222" s="27">
        <v>0</v>
      </c>
      <c r="E222" s="27">
        <v>0</v>
      </c>
      <c r="F222" s="27">
        <v>4</v>
      </c>
      <c r="G222" s="27">
        <v>0</v>
      </c>
      <c r="H222" s="27">
        <v>0</v>
      </c>
      <c r="I222" s="27">
        <v>4560</v>
      </c>
      <c r="J222" s="27">
        <v>1440</v>
      </c>
    </row>
    <row r="223" spans="1:10" x14ac:dyDescent="0.25">
      <c r="A223" s="26" t="s">
        <v>222</v>
      </c>
      <c r="B223" s="27">
        <v>0</v>
      </c>
      <c r="C223" s="27">
        <v>0</v>
      </c>
      <c r="D223" s="27">
        <v>0</v>
      </c>
      <c r="E223" s="27">
        <v>0</v>
      </c>
      <c r="F223" s="27">
        <v>3</v>
      </c>
      <c r="G223" s="27">
        <v>2</v>
      </c>
      <c r="H223" s="27">
        <v>0</v>
      </c>
      <c r="I223" s="27">
        <v>5660</v>
      </c>
      <c r="J223" s="27">
        <v>340</v>
      </c>
    </row>
    <row r="224" spans="1:10" x14ac:dyDescent="0.25">
      <c r="A224" s="26" t="s">
        <v>223</v>
      </c>
      <c r="B224" s="27">
        <v>0</v>
      </c>
      <c r="C224" s="27">
        <v>0</v>
      </c>
      <c r="D224" s="27">
        <v>0</v>
      </c>
      <c r="E224" s="27">
        <v>0</v>
      </c>
      <c r="F224" s="27">
        <v>3</v>
      </c>
      <c r="G224" s="27">
        <v>1</v>
      </c>
      <c r="H224" s="27">
        <v>1</v>
      </c>
      <c r="I224" s="27">
        <v>5520</v>
      </c>
      <c r="J224" s="27">
        <v>480</v>
      </c>
    </row>
    <row r="225" spans="1:10" x14ac:dyDescent="0.25">
      <c r="A225" s="26" t="s">
        <v>224</v>
      </c>
      <c r="B225" s="27">
        <v>0</v>
      </c>
      <c r="C225" s="27">
        <v>0</v>
      </c>
      <c r="D225" s="27">
        <v>0</v>
      </c>
      <c r="E225" s="27">
        <v>0</v>
      </c>
      <c r="F225" s="27">
        <v>3</v>
      </c>
      <c r="G225" s="27">
        <v>1</v>
      </c>
      <c r="H225" s="27">
        <v>0</v>
      </c>
      <c r="I225" s="27">
        <v>4540</v>
      </c>
      <c r="J225" s="27">
        <v>1460</v>
      </c>
    </row>
    <row r="226" spans="1:10" x14ac:dyDescent="0.25">
      <c r="A226" s="26" t="s">
        <v>225</v>
      </c>
      <c r="B226" s="27">
        <v>0</v>
      </c>
      <c r="C226" s="27">
        <v>0</v>
      </c>
      <c r="D226" s="27">
        <v>0</v>
      </c>
      <c r="E226" s="27">
        <v>0</v>
      </c>
      <c r="F226" s="27">
        <v>3</v>
      </c>
      <c r="G226" s="27">
        <v>0</v>
      </c>
      <c r="H226" s="27">
        <v>2</v>
      </c>
      <c r="I226" s="27">
        <v>5380</v>
      </c>
      <c r="J226" s="27">
        <v>620</v>
      </c>
    </row>
    <row r="227" spans="1:10" x14ac:dyDescent="0.25">
      <c r="A227" s="26" t="s">
        <v>226</v>
      </c>
      <c r="B227" s="27">
        <v>0</v>
      </c>
      <c r="C227" s="27">
        <v>0</v>
      </c>
      <c r="D227" s="27">
        <v>0</v>
      </c>
      <c r="E227" s="27">
        <v>0</v>
      </c>
      <c r="F227" s="27">
        <v>3</v>
      </c>
      <c r="G227" s="27">
        <v>0</v>
      </c>
      <c r="H227" s="27">
        <v>1</v>
      </c>
      <c r="I227" s="27">
        <v>4400</v>
      </c>
      <c r="J227" s="27">
        <v>1600</v>
      </c>
    </row>
    <row r="228" spans="1:10" x14ac:dyDescent="0.25">
      <c r="A228" s="26" t="s">
        <v>227</v>
      </c>
      <c r="B228" s="27">
        <v>0</v>
      </c>
      <c r="C228" s="27">
        <v>0</v>
      </c>
      <c r="D228" s="27">
        <v>0</v>
      </c>
      <c r="E228" s="27">
        <v>0</v>
      </c>
      <c r="F228" s="27">
        <v>3</v>
      </c>
      <c r="G228" s="27">
        <v>0</v>
      </c>
      <c r="H228" s="27">
        <v>0</v>
      </c>
      <c r="I228" s="27">
        <v>3420</v>
      </c>
      <c r="J228" s="27">
        <v>2580</v>
      </c>
    </row>
    <row r="229" spans="1:10" x14ac:dyDescent="0.25">
      <c r="A229" s="26" t="s">
        <v>228</v>
      </c>
      <c r="B229" s="27">
        <v>0</v>
      </c>
      <c r="C229" s="27">
        <v>0</v>
      </c>
      <c r="D229" s="27">
        <v>0</v>
      </c>
      <c r="E229" s="27">
        <v>0</v>
      </c>
      <c r="F229" s="27">
        <v>2</v>
      </c>
      <c r="G229" s="27">
        <v>3</v>
      </c>
      <c r="H229" s="27">
        <v>0</v>
      </c>
      <c r="I229" s="27">
        <v>5640</v>
      </c>
      <c r="J229" s="27">
        <v>360</v>
      </c>
    </row>
    <row r="230" spans="1:10" x14ac:dyDescent="0.25">
      <c r="A230" s="26" t="s">
        <v>229</v>
      </c>
      <c r="B230" s="27">
        <v>0</v>
      </c>
      <c r="C230" s="27">
        <v>0</v>
      </c>
      <c r="D230" s="27">
        <v>0</v>
      </c>
      <c r="E230" s="27">
        <v>0</v>
      </c>
      <c r="F230" s="27">
        <v>2</v>
      </c>
      <c r="G230" s="27">
        <v>2</v>
      </c>
      <c r="H230" s="27">
        <v>1</v>
      </c>
      <c r="I230" s="27">
        <v>5500</v>
      </c>
      <c r="J230" s="27">
        <v>500</v>
      </c>
    </row>
    <row r="231" spans="1:10" x14ac:dyDescent="0.25">
      <c r="A231" s="26" t="s">
        <v>230</v>
      </c>
      <c r="B231" s="27">
        <v>0</v>
      </c>
      <c r="C231" s="27">
        <v>0</v>
      </c>
      <c r="D231" s="27">
        <v>0</v>
      </c>
      <c r="E231" s="27">
        <v>0</v>
      </c>
      <c r="F231" s="27">
        <v>2</v>
      </c>
      <c r="G231" s="27">
        <v>2</v>
      </c>
      <c r="H231" s="27">
        <v>0</v>
      </c>
      <c r="I231" s="27">
        <v>4520</v>
      </c>
      <c r="J231" s="27">
        <v>1480</v>
      </c>
    </row>
    <row r="232" spans="1:10" x14ac:dyDescent="0.25">
      <c r="A232" s="26" t="s">
        <v>231</v>
      </c>
      <c r="B232" s="27">
        <v>0</v>
      </c>
      <c r="C232" s="27">
        <v>0</v>
      </c>
      <c r="D232" s="27">
        <v>0</v>
      </c>
      <c r="E232" s="27">
        <v>0</v>
      </c>
      <c r="F232" s="27">
        <v>2</v>
      </c>
      <c r="G232" s="27">
        <v>1</v>
      </c>
      <c r="H232" s="27">
        <v>2</v>
      </c>
      <c r="I232" s="27">
        <v>5360</v>
      </c>
      <c r="J232" s="27">
        <v>640</v>
      </c>
    </row>
    <row r="233" spans="1:10" x14ac:dyDescent="0.25">
      <c r="A233" s="26" t="s">
        <v>232</v>
      </c>
      <c r="B233" s="27">
        <v>0</v>
      </c>
      <c r="C233" s="27">
        <v>0</v>
      </c>
      <c r="D233" s="27">
        <v>0</v>
      </c>
      <c r="E233" s="27">
        <v>0</v>
      </c>
      <c r="F233" s="27">
        <v>2</v>
      </c>
      <c r="G233" s="27">
        <v>1</v>
      </c>
      <c r="H233" s="27">
        <v>1</v>
      </c>
      <c r="I233" s="27">
        <v>4380</v>
      </c>
      <c r="J233" s="27">
        <v>1620</v>
      </c>
    </row>
    <row r="234" spans="1:10" x14ac:dyDescent="0.25">
      <c r="A234" s="26" t="s">
        <v>233</v>
      </c>
      <c r="B234" s="27">
        <v>0</v>
      </c>
      <c r="C234" s="27">
        <v>0</v>
      </c>
      <c r="D234" s="27">
        <v>0</v>
      </c>
      <c r="E234" s="27">
        <v>0</v>
      </c>
      <c r="F234" s="27">
        <v>2</v>
      </c>
      <c r="G234" s="27">
        <v>1</v>
      </c>
      <c r="H234" s="27">
        <v>0</v>
      </c>
      <c r="I234" s="27">
        <v>3400</v>
      </c>
      <c r="J234" s="27">
        <v>2600</v>
      </c>
    </row>
    <row r="235" spans="1:10" x14ac:dyDescent="0.25">
      <c r="A235" s="26" t="s">
        <v>234</v>
      </c>
      <c r="B235" s="27">
        <v>0</v>
      </c>
      <c r="C235" s="27">
        <v>0</v>
      </c>
      <c r="D235" s="27">
        <v>0</v>
      </c>
      <c r="E235" s="27">
        <v>0</v>
      </c>
      <c r="F235" s="27">
        <v>2</v>
      </c>
      <c r="G235" s="27">
        <v>0</v>
      </c>
      <c r="H235" s="27">
        <v>3</v>
      </c>
      <c r="I235" s="27">
        <v>5220</v>
      </c>
      <c r="J235" s="27">
        <v>780</v>
      </c>
    </row>
    <row r="236" spans="1:10" x14ac:dyDescent="0.25">
      <c r="A236" s="26" t="s">
        <v>235</v>
      </c>
      <c r="B236" s="27">
        <v>0</v>
      </c>
      <c r="C236" s="27">
        <v>0</v>
      </c>
      <c r="D236" s="27">
        <v>0</v>
      </c>
      <c r="E236" s="27">
        <v>0</v>
      </c>
      <c r="F236" s="27">
        <v>2</v>
      </c>
      <c r="G236" s="27">
        <v>0</v>
      </c>
      <c r="H236" s="27">
        <v>2</v>
      </c>
      <c r="I236" s="27">
        <v>4240</v>
      </c>
      <c r="J236" s="27">
        <v>1760</v>
      </c>
    </row>
    <row r="237" spans="1:10" x14ac:dyDescent="0.25">
      <c r="A237" s="26" t="s">
        <v>236</v>
      </c>
      <c r="B237" s="27">
        <v>0</v>
      </c>
      <c r="C237" s="27">
        <v>0</v>
      </c>
      <c r="D237" s="27">
        <v>0</v>
      </c>
      <c r="E237" s="27">
        <v>0</v>
      </c>
      <c r="F237" s="27">
        <v>2</v>
      </c>
      <c r="G237" s="27">
        <v>0</v>
      </c>
      <c r="H237" s="27">
        <v>1</v>
      </c>
      <c r="I237" s="27">
        <v>3260</v>
      </c>
      <c r="J237" s="27">
        <v>2740</v>
      </c>
    </row>
    <row r="238" spans="1:10" x14ac:dyDescent="0.25">
      <c r="A238" s="26" t="s">
        <v>237</v>
      </c>
      <c r="B238" s="27">
        <v>0</v>
      </c>
      <c r="C238" s="27">
        <v>0</v>
      </c>
      <c r="D238" s="27">
        <v>0</v>
      </c>
      <c r="E238" s="27">
        <v>0</v>
      </c>
      <c r="F238" s="27">
        <v>2</v>
      </c>
      <c r="G238" s="27">
        <v>0</v>
      </c>
      <c r="H238" s="27">
        <v>0</v>
      </c>
      <c r="I238" s="27">
        <v>2280</v>
      </c>
      <c r="J238" s="27">
        <v>3720</v>
      </c>
    </row>
    <row r="239" spans="1:10" x14ac:dyDescent="0.25">
      <c r="A239" s="26" t="s">
        <v>238</v>
      </c>
      <c r="B239" s="27">
        <v>0</v>
      </c>
      <c r="C239" s="27">
        <v>0</v>
      </c>
      <c r="D239" s="27">
        <v>0</v>
      </c>
      <c r="E239" s="27">
        <v>0</v>
      </c>
      <c r="F239" s="27">
        <v>1</v>
      </c>
      <c r="G239" s="27">
        <v>4</v>
      </c>
      <c r="H239" s="27">
        <v>0</v>
      </c>
      <c r="I239" s="27">
        <v>5620</v>
      </c>
      <c r="J239" s="27">
        <v>380</v>
      </c>
    </row>
    <row r="240" spans="1:10" x14ac:dyDescent="0.25">
      <c r="A240" s="26" t="s">
        <v>239</v>
      </c>
      <c r="B240" s="27">
        <v>0</v>
      </c>
      <c r="C240" s="27">
        <v>0</v>
      </c>
      <c r="D240" s="27">
        <v>0</v>
      </c>
      <c r="E240" s="27">
        <v>0</v>
      </c>
      <c r="F240" s="27">
        <v>1</v>
      </c>
      <c r="G240" s="27">
        <v>3</v>
      </c>
      <c r="H240" s="27">
        <v>1</v>
      </c>
      <c r="I240" s="27">
        <v>5480</v>
      </c>
      <c r="J240" s="27">
        <v>520</v>
      </c>
    </row>
    <row r="241" spans="1:10" x14ac:dyDescent="0.25">
      <c r="A241" s="26" t="s">
        <v>240</v>
      </c>
      <c r="B241" s="27">
        <v>0</v>
      </c>
      <c r="C241" s="27">
        <v>0</v>
      </c>
      <c r="D241" s="27">
        <v>0</v>
      </c>
      <c r="E241" s="27">
        <v>0</v>
      </c>
      <c r="F241" s="27">
        <v>1</v>
      </c>
      <c r="G241" s="27">
        <v>3</v>
      </c>
      <c r="H241" s="27">
        <v>0</v>
      </c>
      <c r="I241" s="27">
        <v>4500</v>
      </c>
      <c r="J241" s="27">
        <v>1500</v>
      </c>
    </row>
    <row r="242" spans="1:10" x14ac:dyDescent="0.25">
      <c r="A242" s="26" t="s">
        <v>241</v>
      </c>
      <c r="B242" s="27">
        <v>0</v>
      </c>
      <c r="C242" s="27">
        <v>0</v>
      </c>
      <c r="D242" s="27">
        <v>0</v>
      </c>
      <c r="E242" s="27">
        <v>0</v>
      </c>
      <c r="F242" s="27">
        <v>1</v>
      </c>
      <c r="G242" s="27">
        <v>2</v>
      </c>
      <c r="H242" s="27">
        <v>2</v>
      </c>
      <c r="I242" s="27">
        <v>5340</v>
      </c>
      <c r="J242" s="27">
        <v>660</v>
      </c>
    </row>
    <row r="243" spans="1:10" x14ac:dyDescent="0.25">
      <c r="A243" s="26" t="s">
        <v>242</v>
      </c>
      <c r="B243" s="27">
        <v>0</v>
      </c>
      <c r="C243" s="27">
        <v>0</v>
      </c>
      <c r="D243" s="27">
        <v>0</v>
      </c>
      <c r="E243" s="27">
        <v>0</v>
      </c>
      <c r="F243" s="27">
        <v>1</v>
      </c>
      <c r="G243" s="27">
        <v>2</v>
      </c>
      <c r="H243" s="27">
        <v>1</v>
      </c>
      <c r="I243" s="27">
        <v>4360</v>
      </c>
      <c r="J243" s="27">
        <v>1640</v>
      </c>
    </row>
    <row r="244" spans="1:10" x14ac:dyDescent="0.25">
      <c r="A244" s="26" t="s">
        <v>243</v>
      </c>
      <c r="B244" s="27">
        <v>0</v>
      </c>
      <c r="C244" s="27">
        <v>0</v>
      </c>
      <c r="D244" s="27">
        <v>0</v>
      </c>
      <c r="E244" s="27">
        <v>0</v>
      </c>
      <c r="F244" s="27">
        <v>1</v>
      </c>
      <c r="G244" s="27">
        <v>2</v>
      </c>
      <c r="H244" s="27">
        <v>0</v>
      </c>
      <c r="I244" s="27">
        <v>3380</v>
      </c>
      <c r="J244" s="27">
        <v>2620</v>
      </c>
    </row>
    <row r="245" spans="1:10" x14ac:dyDescent="0.25">
      <c r="A245" s="26" t="s">
        <v>244</v>
      </c>
      <c r="B245" s="27">
        <v>0</v>
      </c>
      <c r="C245" s="27">
        <v>0</v>
      </c>
      <c r="D245" s="27">
        <v>0</v>
      </c>
      <c r="E245" s="27">
        <v>0</v>
      </c>
      <c r="F245" s="27">
        <v>1</v>
      </c>
      <c r="G245" s="27">
        <v>1</v>
      </c>
      <c r="H245" s="27">
        <v>3</v>
      </c>
      <c r="I245" s="27">
        <v>5200</v>
      </c>
      <c r="J245" s="27">
        <v>800</v>
      </c>
    </row>
    <row r="246" spans="1:10" x14ac:dyDescent="0.25">
      <c r="A246" s="26" t="s">
        <v>245</v>
      </c>
      <c r="B246" s="27">
        <v>0</v>
      </c>
      <c r="C246" s="27">
        <v>0</v>
      </c>
      <c r="D246" s="27">
        <v>0</v>
      </c>
      <c r="E246" s="27">
        <v>0</v>
      </c>
      <c r="F246" s="27">
        <v>1</v>
      </c>
      <c r="G246" s="27">
        <v>1</v>
      </c>
      <c r="H246" s="27">
        <v>2</v>
      </c>
      <c r="I246" s="27">
        <v>4220</v>
      </c>
      <c r="J246" s="27">
        <v>1780</v>
      </c>
    </row>
    <row r="247" spans="1:10" x14ac:dyDescent="0.25">
      <c r="A247" s="26" t="s">
        <v>246</v>
      </c>
      <c r="B247" s="27">
        <v>0</v>
      </c>
      <c r="C247" s="27">
        <v>0</v>
      </c>
      <c r="D247" s="27">
        <v>0</v>
      </c>
      <c r="E247" s="27">
        <v>0</v>
      </c>
      <c r="F247" s="27">
        <v>1</v>
      </c>
      <c r="G247" s="27">
        <v>1</v>
      </c>
      <c r="H247" s="27">
        <v>1</v>
      </c>
      <c r="I247" s="27">
        <v>3240</v>
      </c>
      <c r="J247" s="27">
        <v>2760</v>
      </c>
    </row>
    <row r="248" spans="1:10" x14ac:dyDescent="0.25">
      <c r="A248" s="26" t="s">
        <v>247</v>
      </c>
      <c r="B248" s="27">
        <v>0</v>
      </c>
      <c r="C248" s="27">
        <v>0</v>
      </c>
      <c r="D248" s="27">
        <v>0</v>
      </c>
      <c r="E248" s="27">
        <v>0</v>
      </c>
      <c r="F248" s="27">
        <v>1</v>
      </c>
      <c r="G248" s="27">
        <v>1</v>
      </c>
      <c r="H248" s="27">
        <v>0</v>
      </c>
      <c r="I248" s="27">
        <v>2260</v>
      </c>
      <c r="J248" s="27">
        <v>3740</v>
      </c>
    </row>
    <row r="249" spans="1:10" x14ac:dyDescent="0.25">
      <c r="A249" s="26" t="s">
        <v>248</v>
      </c>
      <c r="B249" s="27">
        <v>0</v>
      </c>
      <c r="C249" s="27">
        <v>0</v>
      </c>
      <c r="D249" s="27">
        <v>0</v>
      </c>
      <c r="E249" s="27">
        <v>0</v>
      </c>
      <c r="F249" s="27">
        <v>1</v>
      </c>
      <c r="G249" s="27">
        <v>0</v>
      </c>
      <c r="H249" s="27">
        <v>4</v>
      </c>
      <c r="I249" s="27">
        <v>5060</v>
      </c>
      <c r="J249" s="27">
        <v>940</v>
      </c>
    </row>
    <row r="250" spans="1:10" x14ac:dyDescent="0.25">
      <c r="A250" s="26" t="s">
        <v>249</v>
      </c>
      <c r="B250" s="27">
        <v>0</v>
      </c>
      <c r="C250" s="27">
        <v>0</v>
      </c>
      <c r="D250" s="27">
        <v>0</v>
      </c>
      <c r="E250" s="27">
        <v>0</v>
      </c>
      <c r="F250" s="27">
        <v>1</v>
      </c>
      <c r="G250" s="27">
        <v>0</v>
      </c>
      <c r="H250" s="27">
        <v>3</v>
      </c>
      <c r="I250" s="27">
        <v>4080</v>
      </c>
      <c r="J250" s="27">
        <v>1920</v>
      </c>
    </row>
    <row r="251" spans="1:10" x14ac:dyDescent="0.25">
      <c r="A251" s="26" t="s">
        <v>250</v>
      </c>
      <c r="B251" s="27">
        <v>0</v>
      </c>
      <c r="C251" s="27">
        <v>0</v>
      </c>
      <c r="D251" s="27">
        <v>0</v>
      </c>
      <c r="E251" s="27">
        <v>0</v>
      </c>
      <c r="F251" s="27">
        <v>1</v>
      </c>
      <c r="G251" s="27">
        <v>0</v>
      </c>
      <c r="H251" s="27">
        <v>2</v>
      </c>
      <c r="I251" s="27">
        <v>3100</v>
      </c>
      <c r="J251" s="27">
        <v>2900</v>
      </c>
    </row>
    <row r="252" spans="1:10" x14ac:dyDescent="0.25">
      <c r="A252" s="26" t="s">
        <v>251</v>
      </c>
      <c r="B252" s="27">
        <v>0</v>
      </c>
      <c r="C252" s="27">
        <v>0</v>
      </c>
      <c r="D252" s="27">
        <v>0</v>
      </c>
      <c r="E252" s="27">
        <v>0</v>
      </c>
      <c r="F252" s="27">
        <v>1</v>
      </c>
      <c r="G252" s="27">
        <v>0</v>
      </c>
      <c r="H252" s="27">
        <v>1</v>
      </c>
      <c r="I252" s="27">
        <v>2120</v>
      </c>
      <c r="J252" s="27">
        <v>3880</v>
      </c>
    </row>
    <row r="253" spans="1:10" x14ac:dyDescent="0.25">
      <c r="A253" s="26" t="s">
        <v>252</v>
      </c>
      <c r="B253" s="27">
        <v>0</v>
      </c>
      <c r="C253" s="27">
        <v>0</v>
      </c>
      <c r="D253" s="27">
        <v>0</v>
      </c>
      <c r="E253" s="27">
        <v>0</v>
      </c>
      <c r="F253" s="27">
        <v>1</v>
      </c>
      <c r="G253" s="27">
        <v>0</v>
      </c>
      <c r="H253" s="27">
        <v>0</v>
      </c>
      <c r="I253" s="27">
        <v>1140</v>
      </c>
      <c r="J253" s="27">
        <v>4860</v>
      </c>
    </row>
    <row r="254" spans="1:10" x14ac:dyDescent="0.25">
      <c r="A254" s="26" t="s">
        <v>253</v>
      </c>
      <c r="B254" s="27">
        <v>0</v>
      </c>
      <c r="C254" s="27">
        <v>0</v>
      </c>
      <c r="D254" s="27">
        <v>0</v>
      </c>
      <c r="E254" s="27">
        <v>0</v>
      </c>
      <c r="F254" s="27">
        <v>0</v>
      </c>
      <c r="G254" s="27">
        <v>5</v>
      </c>
      <c r="H254" s="27">
        <v>0</v>
      </c>
      <c r="I254" s="27">
        <v>5600</v>
      </c>
      <c r="J254" s="27">
        <v>400</v>
      </c>
    </row>
    <row r="255" spans="1:10" x14ac:dyDescent="0.25">
      <c r="A255" s="26" t="s">
        <v>254</v>
      </c>
      <c r="B255" s="27">
        <v>0</v>
      </c>
      <c r="C255" s="27">
        <v>0</v>
      </c>
      <c r="D255" s="27">
        <v>0</v>
      </c>
      <c r="E255" s="27">
        <v>0</v>
      </c>
      <c r="F255" s="27">
        <v>0</v>
      </c>
      <c r="G255" s="27">
        <v>4</v>
      </c>
      <c r="H255" s="27">
        <v>1</v>
      </c>
      <c r="I255" s="27">
        <v>5460</v>
      </c>
      <c r="J255" s="27">
        <v>540</v>
      </c>
    </row>
    <row r="256" spans="1:10" x14ac:dyDescent="0.25">
      <c r="A256" s="26" t="s">
        <v>255</v>
      </c>
      <c r="B256" s="27">
        <v>0</v>
      </c>
      <c r="C256" s="27">
        <v>0</v>
      </c>
      <c r="D256" s="27">
        <v>0</v>
      </c>
      <c r="E256" s="27">
        <v>0</v>
      </c>
      <c r="F256" s="27">
        <v>0</v>
      </c>
      <c r="G256" s="27">
        <v>4</v>
      </c>
      <c r="H256" s="27">
        <v>0</v>
      </c>
      <c r="I256" s="27">
        <v>4480</v>
      </c>
      <c r="J256" s="27">
        <v>1520</v>
      </c>
    </row>
    <row r="257" spans="1:10" x14ac:dyDescent="0.25">
      <c r="A257" s="26" t="s">
        <v>256</v>
      </c>
      <c r="B257" s="27">
        <v>0</v>
      </c>
      <c r="C257" s="27">
        <v>0</v>
      </c>
      <c r="D257" s="27">
        <v>0</v>
      </c>
      <c r="E257" s="27">
        <v>0</v>
      </c>
      <c r="F257" s="27">
        <v>0</v>
      </c>
      <c r="G257" s="27">
        <v>3</v>
      </c>
      <c r="H257" s="27">
        <v>2</v>
      </c>
      <c r="I257" s="27">
        <v>5320</v>
      </c>
      <c r="J257" s="27">
        <v>680</v>
      </c>
    </row>
    <row r="258" spans="1:10" x14ac:dyDescent="0.25">
      <c r="A258" s="26" t="s">
        <v>257</v>
      </c>
      <c r="B258" s="27">
        <v>0</v>
      </c>
      <c r="C258" s="27">
        <v>0</v>
      </c>
      <c r="D258" s="27">
        <v>0</v>
      </c>
      <c r="E258" s="27">
        <v>0</v>
      </c>
      <c r="F258" s="27">
        <v>0</v>
      </c>
      <c r="G258" s="27">
        <v>3</v>
      </c>
      <c r="H258" s="27">
        <v>1</v>
      </c>
      <c r="I258" s="27">
        <v>4340</v>
      </c>
      <c r="J258" s="27">
        <v>1660</v>
      </c>
    </row>
    <row r="259" spans="1:10" x14ac:dyDescent="0.25">
      <c r="A259" s="26" t="s">
        <v>258</v>
      </c>
      <c r="B259" s="27">
        <v>0</v>
      </c>
      <c r="C259" s="27">
        <v>0</v>
      </c>
      <c r="D259" s="27">
        <v>0</v>
      </c>
      <c r="E259" s="27">
        <v>0</v>
      </c>
      <c r="F259" s="27">
        <v>0</v>
      </c>
      <c r="G259" s="27">
        <v>3</v>
      </c>
      <c r="H259" s="27">
        <v>0</v>
      </c>
      <c r="I259" s="27">
        <v>3360</v>
      </c>
      <c r="J259" s="27">
        <v>2640</v>
      </c>
    </row>
    <row r="260" spans="1:10" x14ac:dyDescent="0.25">
      <c r="A260" s="26" t="s">
        <v>259</v>
      </c>
      <c r="B260" s="27">
        <v>0</v>
      </c>
      <c r="C260" s="27">
        <v>0</v>
      </c>
      <c r="D260" s="27">
        <v>0</v>
      </c>
      <c r="E260" s="27">
        <v>0</v>
      </c>
      <c r="F260" s="27">
        <v>0</v>
      </c>
      <c r="G260" s="27">
        <v>2</v>
      </c>
      <c r="H260" s="27">
        <v>3</v>
      </c>
      <c r="I260" s="27">
        <v>5180</v>
      </c>
      <c r="J260" s="27">
        <v>820</v>
      </c>
    </row>
    <row r="261" spans="1:10" x14ac:dyDescent="0.25">
      <c r="A261" s="26" t="s">
        <v>260</v>
      </c>
      <c r="B261" s="27">
        <v>0</v>
      </c>
      <c r="C261" s="27">
        <v>0</v>
      </c>
      <c r="D261" s="27">
        <v>0</v>
      </c>
      <c r="E261" s="27">
        <v>0</v>
      </c>
      <c r="F261" s="27">
        <v>0</v>
      </c>
      <c r="G261" s="27">
        <v>2</v>
      </c>
      <c r="H261" s="27">
        <v>2</v>
      </c>
      <c r="I261" s="27">
        <v>4200</v>
      </c>
      <c r="J261" s="27">
        <v>1800</v>
      </c>
    </row>
    <row r="262" spans="1:10" x14ac:dyDescent="0.25">
      <c r="A262" s="26" t="s">
        <v>261</v>
      </c>
      <c r="B262" s="27">
        <v>0</v>
      </c>
      <c r="C262" s="27">
        <v>0</v>
      </c>
      <c r="D262" s="27">
        <v>0</v>
      </c>
      <c r="E262" s="27">
        <v>0</v>
      </c>
      <c r="F262" s="27">
        <v>0</v>
      </c>
      <c r="G262" s="27">
        <v>2</v>
      </c>
      <c r="H262" s="27">
        <v>1</v>
      </c>
      <c r="I262" s="27">
        <v>3220</v>
      </c>
      <c r="J262" s="27">
        <v>2780</v>
      </c>
    </row>
    <row r="263" spans="1:10" x14ac:dyDescent="0.25">
      <c r="A263" s="26" t="s">
        <v>262</v>
      </c>
      <c r="B263" s="27">
        <v>0</v>
      </c>
      <c r="C263" s="27">
        <v>0</v>
      </c>
      <c r="D263" s="27">
        <v>0</v>
      </c>
      <c r="E263" s="27">
        <v>0</v>
      </c>
      <c r="F263" s="27">
        <v>0</v>
      </c>
      <c r="G263" s="27">
        <v>2</v>
      </c>
      <c r="H263" s="27">
        <v>0</v>
      </c>
      <c r="I263" s="27">
        <v>2240</v>
      </c>
      <c r="J263" s="27">
        <v>3760</v>
      </c>
    </row>
    <row r="264" spans="1:10" x14ac:dyDescent="0.25">
      <c r="A264" s="26" t="s">
        <v>263</v>
      </c>
      <c r="B264" s="27">
        <v>0</v>
      </c>
      <c r="C264" s="27">
        <v>0</v>
      </c>
      <c r="D264" s="27">
        <v>0</v>
      </c>
      <c r="E264" s="27">
        <v>0</v>
      </c>
      <c r="F264" s="27">
        <v>0</v>
      </c>
      <c r="G264" s="27">
        <v>1</v>
      </c>
      <c r="H264" s="27">
        <v>4</v>
      </c>
      <c r="I264" s="27">
        <v>5040</v>
      </c>
      <c r="J264" s="27">
        <v>960</v>
      </c>
    </row>
    <row r="265" spans="1:10" x14ac:dyDescent="0.25">
      <c r="A265" s="26" t="s">
        <v>264</v>
      </c>
      <c r="B265" s="27">
        <v>0</v>
      </c>
      <c r="C265" s="27">
        <v>0</v>
      </c>
      <c r="D265" s="27">
        <v>0</v>
      </c>
      <c r="E265" s="27">
        <v>0</v>
      </c>
      <c r="F265" s="27">
        <v>0</v>
      </c>
      <c r="G265" s="27">
        <v>1</v>
      </c>
      <c r="H265" s="27">
        <v>3</v>
      </c>
      <c r="I265" s="27">
        <v>4060</v>
      </c>
      <c r="J265" s="27">
        <v>1940</v>
      </c>
    </row>
    <row r="266" spans="1:10" x14ac:dyDescent="0.25">
      <c r="A266" s="26" t="s">
        <v>265</v>
      </c>
      <c r="B266" s="27">
        <v>0</v>
      </c>
      <c r="C266" s="27">
        <v>0</v>
      </c>
      <c r="D266" s="27">
        <v>0</v>
      </c>
      <c r="E266" s="27">
        <v>0</v>
      </c>
      <c r="F266" s="27">
        <v>0</v>
      </c>
      <c r="G266" s="27">
        <v>1</v>
      </c>
      <c r="H266" s="27">
        <v>2</v>
      </c>
      <c r="I266" s="27">
        <v>3080</v>
      </c>
      <c r="J266" s="27">
        <v>2920</v>
      </c>
    </row>
    <row r="267" spans="1:10" x14ac:dyDescent="0.25">
      <c r="A267" s="26" t="s">
        <v>266</v>
      </c>
      <c r="B267" s="27">
        <v>0</v>
      </c>
      <c r="C267" s="27">
        <v>0</v>
      </c>
      <c r="D267" s="27">
        <v>0</v>
      </c>
      <c r="E267" s="27">
        <v>0</v>
      </c>
      <c r="F267" s="27">
        <v>0</v>
      </c>
      <c r="G267" s="27">
        <v>1</v>
      </c>
      <c r="H267" s="27">
        <v>1</v>
      </c>
      <c r="I267" s="27">
        <v>2100</v>
      </c>
      <c r="J267" s="27">
        <v>3900</v>
      </c>
    </row>
    <row r="268" spans="1:10" x14ac:dyDescent="0.25">
      <c r="A268" s="26" t="s">
        <v>267</v>
      </c>
      <c r="B268" s="27">
        <v>0</v>
      </c>
      <c r="C268" s="27">
        <v>0</v>
      </c>
      <c r="D268" s="27">
        <v>0</v>
      </c>
      <c r="E268" s="27">
        <v>0</v>
      </c>
      <c r="F268" s="27">
        <v>0</v>
      </c>
      <c r="G268" s="27">
        <v>1</v>
      </c>
      <c r="H268" s="27">
        <v>0</v>
      </c>
      <c r="I268" s="27">
        <v>1120</v>
      </c>
      <c r="J268" s="27">
        <v>4880</v>
      </c>
    </row>
    <row r="269" spans="1:10" x14ac:dyDescent="0.25">
      <c r="A269" s="26" t="s">
        <v>268</v>
      </c>
      <c r="B269" s="27">
        <v>0</v>
      </c>
      <c r="C269" s="27">
        <v>0</v>
      </c>
      <c r="D269" s="27">
        <v>0</v>
      </c>
      <c r="E269" s="27">
        <v>0</v>
      </c>
      <c r="F269" s="27">
        <v>0</v>
      </c>
      <c r="G269" s="27">
        <v>0</v>
      </c>
      <c r="H269" s="27">
        <v>6</v>
      </c>
      <c r="I269" s="27">
        <v>5880</v>
      </c>
      <c r="J269" s="27">
        <v>120</v>
      </c>
    </row>
    <row r="270" spans="1:10" x14ac:dyDescent="0.25">
      <c r="A270" s="26" t="s">
        <v>269</v>
      </c>
      <c r="B270" s="27">
        <v>0</v>
      </c>
      <c r="C270" s="27">
        <v>0</v>
      </c>
      <c r="D270" s="27">
        <v>0</v>
      </c>
      <c r="E270" s="27">
        <v>0</v>
      </c>
      <c r="F270" s="27">
        <v>0</v>
      </c>
      <c r="G270" s="27">
        <v>0</v>
      </c>
      <c r="H270" s="27">
        <v>5</v>
      </c>
      <c r="I270" s="27">
        <v>4900</v>
      </c>
      <c r="J270" s="27">
        <v>1100</v>
      </c>
    </row>
    <row r="271" spans="1:10" x14ac:dyDescent="0.25">
      <c r="A271" s="26" t="s">
        <v>270</v>
      </c>
      <c r="B271" s="27">
        <v>0</v>
      </c>
      <c r="C271" s="27">
        <v>0</v>
      </c>
      <c r="D271" s="27">
        <v>0</v>
      </c>
      <c r="E271" s="27">
        <v>0</v>
      </c>
      <c r="F271" s="27">
        <v>0</v>
      </c>
      <c r="G271" s="27">
        <v>0</v>
      </c>
      <c r="H271" s="27">
        <v>4</v>
      </c>
      <c r="I271" s="27">
        <v>3920</v>
      </c>
      <c r="J271" s="27">
        <v>2080</v>
      </c>
    </row>
    <row r="272" spans="1:10" x14ac:dyDescent="0.25">
      <c r="A272" s="26" t="s">
        <v>271</v>
      </c>
      <c r="B272" s="27">
        <v>0</v>
      </c>
      <c r="C272" s="27">
        <v>0</v>
      </c>
      <c r="D272" s="27">
        <v>0</v>
      </c>
      <c r="E272" s="27">
        <v>0</v>
      </c>
      <c r="F272" s="27">
        <v>0</v>
      </c>
      <c r="G272" s="27">
        <v>0</v>
      </c>
      <c r="H272" s="27">
        <v>3</v>
      </c>
      <c r="I272" s="27">
        <v>2940</v>
      </c>
      <c r="J272" s="27">
        <v>3060</v>
      </c>
    </row>
    <row r="273" spans="1:10" x14ac:dyDescent="0.25">
      <c r="A273" s="26" t="s">
        <v>272</v>
      </c>
      <c r="B273" s="27">
        <v>0</v>
      </c>
      <c r="C273" s="27">
        <v>0</v>
      </c>
      <c r="D273" s="27">
        <v>0</v>
      </c>
      <c r="E273" s="27">
        <v>0</v>
      </c>
      <c r="F273" s="27">
        <v>0</v>
      </c>
      <c r="G273" s="27">
        <v>0</v>
      </c>
      <c r="H273" s="27">
        <v>2</v>
      </c>
      <c r="I273" s="27">
        <v>1960</v>
      </c>
      <c r="J273" s="27">
        <v>4040</v>
      </c>
    </row>
    <row r="274" spans="1:10" x14ac:dyDescent="0.25">
      <c r="A274" s="26" t="s">
        <v>273</v>
      </c>
      <c r="B274" s="27">
        <v>0</v>
      </c>
      <c r="C274" s="27">
        <v>0</v>
      </c>
      <c r="D274" s="27">
        <v>0</v>
      </c>
      <c r="E274" s="27">
        <v>0</v>
      </c>
      <c r="F274" s="27">
        <v>0</v>
      </c>
      <c r="G274" s="27">
        <v>0</v>
      </c>
      <c r="H274" s="27">
        <v>1</v>
      </c>
      <c r="I274" s="27">
        <v>980</v>
      </c>
      <c r="J274" s="27">
        <v>5020</v>
      </c>
    </row>
  </sheetData>
  <conditionalFormatting sqref="B5">
    <cfRule type="expression" dxfId="0" priority="2">
      <formula>B5&gt;=$B$6</formula>
    </cfRule>
  </conditionalFormatting>
  <pageMargins left="0.59055118110236227" right="0.59055118110236227" top="0.59055118110236227" bottom="0.59055118110236227" header="0.31496062992125984" footer="0.31496062992125984"/>
  <pageSetup paperSize="9" scale="80" fitToHeight="0" orientation="landscape" horizontalDpi="0" verticalDpi="0" r:id="rId1"/>
  <headerFooter>
    <oddFooter>&amp;LFile: &amp;F, Worksheet: &amp;A&amp;CPage &amp;P of &amp;N&amp;RCopyright www.solvermax.com</oddFooter>
  </headerFooter>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Patterns">
                <anchor moveWithCells="1">
                  <from>
                    <xdr:col>7</xdr:col>
                    <xdr:colOff>571500</xdr:colOff>
                    <xdr:row>2</xdr:row>
                    <xdr:rowOff>28575</xdr:rowOff>
                  </from>
                  <to>
                    <xdr:col>8</xdr:col>
                    <xdr:colOff>666750</xdr:colOff>
                    <xdr:row>4</xdr:row>
                    <xdr:rowOff>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About</vt:lpstr>
      <vt:lpstr>Patterns</vt:lpstr>
      <vt:lpstr>Lengths</vt:lpstr>
      <vt:lpstr>NumCombos</vt:lpstr>
      <vt:lpstr>Pattern</vt:lpstr>
      <vt:lpstr>Pieces</vt:lpstr>
      <vt:lpstr>About!Print_Area</vt:lpstr>
      <vt:lpstr>Patterns!Print_Area</vt:lpstr>
      <vt:lpstr>StockLength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i-nth</dc:creator>
  <cp:lastModifiedBy>i-nth</cp:lastModifiedBy>
  <cp:lastPrinted>2021-04-11T07:52:02Z</cp:lastPrinted>
  <dcterms:created xsi:type="dcterms:W3CDTF">2019-01-27T01:02:38Z</dcterms:created>
  <dcterms:modified xsi:type="dcterms:W3CDTF">2022-06-29T19:35:43Z</dcterms:modified>
</cp:coreProperties>
</file>